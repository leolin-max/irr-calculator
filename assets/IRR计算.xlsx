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linjh\Desktop\"/>
    </mc:Choice>
  </mc:AlternateContent>
  <xr:revisionPtr revIDLastSave="0" documentId="13_ncr:1_{80734FEB-7D3E-4DB4-A0A0-0914CF69D863}" xr6:coauthVersionLast="47" xr6:coauthVersionMax="47" xr10:uidLastSave="{00000000-0000-0000-0000-000000000000}"/>
  <bookViews>
    <workbookView xWindow="-110" yWindow="-110" windowWidth="19420" windowHeight="11500" tabRatio="935" firstSheet="7" activeTab="7" xr2:uid="{00000000-000D-0000-FFFF-FFFF00000000}"/>
  </bookViews>
  <sheets>
    <sheet name="Suung Edit" sheetId="2" state="hidden" r:id="rId1"/>
    <sheet name="单次打款" sheetId="14" state="hidden" r:id="rId2"/>
    <sheet name="2次打款" sheetId="18" state="hidden" r:id="rId3"/>
    <sheet name="3次打款" sheetId="16" state="hidden" r:id="rId4"/>
    <sheet name="4次打款" sheetId="12" state="hidden" r:id="rId5"/>
    <sheet name="要求" sheetId="17" state="hidden" r:id="rId6"/>
    <sheet name="IRR计算 (12月，季度回款) " sheetId="36" state="hidden" r:id="rId7"/>
    <sheet name="计算模型" sheetId="35" r:id="rId8"/>
  </sheets>
  <definedNames>
    <definedName name="solver_eng" localSheetId="6" hidden="1">1</definedName>
    <definedName name="solver_eng" localSheetId="7" hidden="1">1</definedName>
    <definedName name="solver_neg" localSheetId="6" hidden="1">1</definedName>
    <definedName name="solver_neg" localSheetId="7" hidden="1">1</definedName>
    <definedName name="solver_num" localSheetId="6" hidden="1">0</definedName>
    <definedName name="solver_num" localSheetId="7" hidden="1">0</definedName>
    <definedName name="solver_opt" localSheetId="6" hidden="1">'IRR计算 (12月，季度回款) '!#REF!</definedName>
    <definedName name="solver_opt" localSheetId="7" hidden="1">计算模型!#REF!</definedName>
    <definedName name="solver_typ" localSheetId="6" hidden="1">1</definedName>
    <definedName name="solver_typ" localSheetId="7" hidden="1">1</definedName>
    <definedName name="solver_val" localSheetId="6" hidden="1">0</definedName>
    <definedName name="solver_val" localSheetId="7" hidden="1">0</definedName>
    <definedName name="solver_ver" localSheetId="6" hidden="1">3</definedName>
    <definedName name="solver_ver" localSheetId="7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35" l="1"/>
  <c r="O11" i="35"/>
  <c r="O12" i="35"/>
  <c r="O13" i="35"/>
  <c r="O14" i="35"/>
  <c r="O15" i="35"/>
  <c r="O16" i="35"/>
  <c r="O17" i="35"/>
  <c r="O18" i="35"/>
  <c r="O19" i="35"/>
  <c r="O20" i="35"/>
  <c r="O21" i="35"/>
  <c r="O9" i="35"/>
  <c r="L11" i="35"/>
  <c r="L12" i="35"/>
  <c r="L13" i="35"/>
  <c r="L14" i="35"/>
  <c r="L15" i="35"/>
  <c r="L16" i="35"/>
  <c r="L17" i="35"/>
  <c r="L18" i="35"/>
  <c r="L19" i="35"/>
  <c r="L20" i="35"/>
  <c r="L21" i="35"/>
  <c r="L10" i="35"/>
  <c r="M9" i="35"/>
  <c r="H11" i="35" l="1"/>
  <c r="H12" i="35"/>
  <c r="H13" i="35"/>
  <c r="H14" i="35"/>
  <c r="H15" i="35"/>
  <c r="H16" i="35"/>
  <c r="H17" i="35"/>
  <c r="H18" i="35"/>
  <c r="H19" i="35"/>
  <c r="H20" i="35"/>
  <c r="H21" i="35"/>
  <c r="H10" i="35"/>
  <c r="G11" i="35"/>
  <c r="G12" i="35"/>
  <c r="G13" i="35"/>
  <c r="G14" i="35"/>
  <c r="G15" i="35"/>
  <c r="G16" i="35"/>
  <c r="G17" i="35"/>
  <c r="G18" i="35"/>
  <c r="G19" i="35"/>
  <c r="G20" i="35"/>
  <c r="G21" i="35"/>
  <c r="G10" i="35"/>
  <c r="F11" i="35"/>
  <c r="F12" i="35"/>
  <c r="F13" i="35"/>
  <c r="F14" i="35"/>
  <c r="F15" i="35"/>
  <c r="F16" i="35"/>
  <c r="F17" i="35"/>
  <c r="F18" i="35"/>
  <c r="F19" i="35"/>
  <c r="F20" i="35"/>
  <c r="F21" i="35"/>
  <c r="F10" i="35"/>
  <c r="E11" i="35"/>
  <c r="E12" i="35"/>
  <c r="E13" i="35"/>
  <c r="E14" i="35"/>
  <c r="E15" i="35"/>
  <c r="E16" i="35"/>
  <c r="E17" i="35"/>
  <c r="E18" i="35"/>
  <c r="M18" i="35" s="1"/>
  <c r="E19" i="35"/>
  <c r="E20" i="35"/>
  <c r="E21" i="35"/>
  <c r="E10" i="35"/>
  <c r="U3" i="36"/>
  <c r="R15" i="36"/>
  <c r="Q15" i="36"/>
  <c r="P15" i="36"/>
  <c r="N15" i="36"/>
  <c r="M15" i="36"/>
  <c r="S15" i="36" s="1"/>
  <c r="R14" i="36"/>
  <c r="Q14" i="36"/>
  <c r="P14" i="36"/>
  <c r="N14" i="36"/>
  <c r="M14" i="36"/>
  <c r="S14" i="36" s="1"/>
  <c r="R13" i="36"/>
  <c r="Q13" i="36"/>
  <c r="P13" i="36"/>
  <c r="N13" i="36"/>
  <c r="M13" i="36"/>
  <c r="R12" i="36"/>
  <c r="Q12" i="36"/>
  <c r="P12" i="36"/>
  <c r="N12" i="36"/>
  <c r="M12" i="36"/>
  <c r="S12" i="36" s="1"/>
  <c r="R11" i="36"/>
  <c r="Q11" i="36"/>
  <c r="P11" i="36"/>
  <c r="N11" i="36"/>
  <c r="M11" i="36"/>
  <c r="F11" i="36"/>
  <c r="R10" i="36"/>
  <c r="Q10" i="36"/>
  <c r="P10" i="36"/>
  <c r="N10" i="36"/>
  <c r="M10" i="36"/>
  <c r="S10" i="36" s="1"/>
  <c r="R9" i="36"/>
  <c r="Q9" i="36"/>
  <c r="P9" i="36"/>
  <c r="N9" i="36"/>
  <c r="M9" i="36"/>
  <c r="F9" i="36"/>
  <c r="R8" i="36"/>
  <c r="Q8" i="36"/>
  <c r="P8" i="36"/>
  <c r="N8" i="36"/>
  <c r="M8" i="36"/>
  <c r="S8" i="36" s="1"/>
  <c r="C8" i="36"/>
  <c r="R7" i="36"/>
  <c r="Q7" i="36"/>
  <c r="P7" i="36"/>
  <c r="N7" i="36"/>
  <c r="M7" i="36"/>
  <c r="R6" i="36"/>
  <c r="Q6" i="36"/>
  <c r="P6" i="36"/>
  <c r="N6" i="36"/>
  <c r="M6" i="36"/>
  <c r="S6" i="36" s="1"/>
  <c r="R5" i="36"/>
  <c r="Q5" i="36"/>
  <c r="P5" i="36"/>
  <c r="N5" i="36"/>
  <c r="M5" i="36"/>
  <c r="R4" i="36"/>
  <c r="Q4" i="36"/>
  <c r="P4" i="36"/>
  <c r="N4" i="36"/>
  <c r="M4" i="36"/>
  <c r="H4" i="36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T3" i="36"/>
  <c r="S3" i="36"/>
  <c r="I3" i="36"/>
  <c r="F3" i="36"/>
  <c r="F13" i="36" s="1"/>
  <c r="C3" i="36"/>
  <c r="C12" i="36" s="1"/>
  <c r="H1" i="36"/>
  <c r="N9" i="35"/>
  <c r="M17" i="35" l="1"/>
  <c r="M11" i="35"/>
  <c r="M21" i="35"/>
  <c r="M15" i="35"/>
  <c r="M13" i="35"/>
  <c r="M12" i="35"/>
  <c r="M10" i="35"/>
  <c r="M20" i="35"/>
  <c r="M16" i="35"/>
  <c r="M14" i="35"/>
  <c r="M19" i="35"/>
  <c r="C25" i="35"/>
  <c r="C24" i="35"/>
  <c r="S7" i="36"/>
  <c r="S9" i="36"/>
  <c r="S5" i="36"/>
  <c r="S4" i="36"/>
  <c r="T4" i="36" s="1"/>
  <c r="S13" i="36"/>
  <c r="S11" i="36"/>
  <c r="I22" i="36"/>
  <c r="C11" i="36"/>
  <c r="F12" i="36"/>
  <c r="C10" i="36"/>
  <c r="C9" i="36"/>
  <c r="F10" i="36"/>
  <c r="C7" i="36"/>
  <c r="F8" i="36"/>
  <c r="C6" i="36"/>
  <c r="F7" i="36"/>
  <c r="C5" i="36"/>
  <c r="F6" i="36"/>
  <c r="C4" i="36"/>
  <c r="F5" i="36"/>
  <c r="F4" i="36"/>
  <c r="C15" i="36"/>
  <c r="C14" i="36"/>
  <c r="F15" i="36"/>
  <c r="C13" i="36"/>
  <c r="F14" i="36"/>
  <c r="N10" i="35" l="1"/>
  <c r="C28" i="35"/>
  <c r="T5" i="36"/>
  <c r="U4" i="36"/>
  <c r="N11" i="35" l="1"/>
  <c r="T6" i="36"/>
  <c r="T7" i="36" s="1"/>
  <c r="U5" i="36"/>
  <c r="U6" i="36" s="1"/>
  <c r="U7" i="36" s="1"/>
  <c r="T8" i="36"/>
  <c r="N12" i="35" l="1"/>
  <c r="U8" i="36"/>
  <c r="T9" i="36"/>
  <c r="N13" i="35" l="1"/>
  <c r="U9" i="36"/>
  <c r="T10" i="36"/>
  <c r="N14" i="35" l="1"/>
  <c r="U10" i="36"/>
  <c r="T11" i="36"/>
  <c r="N15" i="35" l="1"/>
  <c r="U11" i="36"/>
  <c r="T12" i="36"/>
  <c r="N16" i="35" l="1"/>
  <c r="U12" i="36"/>
  <c r="U13" i="36" s="1"/>
  <c r="T13" i="36"/>
  <c r="N17" i="35" l="1"/>
  <c r="T14" i="36"/>
  <c r="U14" i="36" s="1"/>
  <c r="N18" i="35" l="1"/>
  <c r="T15" i="36"/>
  <c r="U15" i="36" s="1"/>
  <c r="N19" i="35" l="1"/>
  <c r="I19" i="36"/>
  <c r="I18" i="36"/>
  <c r="I21" i="36"/>
  <c r="N20" i="35" l="1"/>
  <c r="I20" i="36"/>
  <c r="N21" i="35" l="1"/>
  <c r="D20" i="14"/>
  <c r="C26" i="35" l="1"/>
  <c r="C27" i="35"/>
  <c r="C16" i="14"/>
  <c r="D8" i="18"/>
  <c r="E8" i="18" s="1"/>
  <c r="D10" i="18"/>
  <c r="D11" i="18"/>
  <c r="D15" i="18"/>
  <c r="D15" i="16"/>
  <c r="C16" i="18"/>
  <c r="B16" i="18"/>
  <c r="B56" i="18"/>
  <c r="G49" i="18"/>
  <c r="F49" i="18"/>
  <c r="G48" i="18"/>
  <c r="F48" i="18"/>
  <c r="G47" i="18"/>
  <c r="F47" i="18"/>
  <c r="G46" i="18"/>
  <c r="F46" i="18"/>
  <c r="G45" i="18"/>
  <c r="F45" i="18"/>
  <c r="G44" i="18"/>
  <c r="F44" i="18"/>
  <c r="G43" i="18"/>
  <c r="F43" i="18"/>
  <c r="G42" i="18"/>
  <c r="F42" i="18"/>
  <c r="G41" i="18"/>
  <c r="F41" i="18"/>
  <c r="G40" i="18"/>
  <c r="F40" i="18"/>
  <c r="G39" i="18"/>
  <c r="F39" i="18"/>
  <c r="G38" i="18"/>
  <c r="F38" i="18"/>
  <c r="F37" i="18"/>
  <c r="F36" i="18"/>
  <c r="G35" i="18"/>
  <c r="F35" i="18"/>
  <c r="G34" i="18"/>
  <c r="F34" i="18"/>
  <c r="G33" i="18"/>
  <c r="F33" i="18"/>
  <c r="B33" i="18"/>
  <c r="G32" i="18"/>
  <c r="F32" i="18"/>
  <c r="B25" i="18"/>
  <c r="B51" i="18" s="1"/>
  <c r="H22" i="18"/>
  <c r="E9" i="18" s="1"/>
  <c r="E11" i="18"/>
  <c r="E10" i="18"/>
  <c r="C5" i="18"/>
  <c r="D8" i="16"/>
  <c r="B16" i="16"/>
  <c r="B16" i="12"/>
  <c r="B5" i="12" s="1"/>
  <c r="D8" i="12"/>
  <c r="B39" i="18" l="1"/>
  <c r="E12" i="18"/>
  <c r="E15" i="18"/>
  <c r="B28" i="18"/>
  <c r="B37" i="18"/>
  <c r="D16" i="18"/>
  <c r="E16" i="18" s="1"/>
  <c r="B5" i="18"/>
  <c r="D5" i="18" s="1"/>
  <c r="E5" i="18" s="1"/>
  <c r="B6" i="18" l="1"/>
  <c r="D6" i="18" s="1"/>
  <c r="E6" i="18" s="1"/>
  <c r="D36" i="18"/>
  <c r="H36" i="18" s="1"/>
  <c r="D41" i="18"/>
  <c r="H41" i="18" s="1"/>
  <c r="D33" i="18"/>
  <c r="H33" i="18" s="1"/>
  <c r="D38" i="18"/>
  <c r="H38" i="18" s="1"/>
  <c r="D40" i="18"/>
  <c r="H40" i="18" s="1"/>
  <c r="D37" i="18"/>
  <c r="H37" i="18" s="1"/>
  <c r="D32" i="18"/>
  <c r="D39" i="18"/>
  <c r="H39" i="18" s="1"/>
  <c r="B7" i="18"/>
  <c r="B41" i="18"/>
  <c r="B43" i="18" l="1"/>
  <c r="H32" i="18"/>
  <c r="D43" i="18"/>
  <c r="H43" i="18" s="1"/>
  <c r="B18" i="18"/>
  <c r="D18" i="18" s="1"/>
  <c r="E18" i="18" s="1"/>
  <c r="B17" i="18"/>
  <c r="D17" i="18" s="1"/>
  <c r="E17" i="18" s="1"/>
  <c r="D7" i="18"/>
  <c r="D42" i="18"/>
  <c r="H42" i="18" s="1"/>
  <c r="E7" i="18" l="1"/>
  <c r="D20" i="18"/>
  <c r="B45" i="18"/>
  <c r="D44" i="18"/>
  <c r="H44" i="18" s="1"/>
  <c r="D45" i="18"/>
  <c r="H45" i="18" s="1"/>
  <c r="B47" i="18" l="1"/>
  <c r="D46" i="18"/>
  <c r="H46" i="18" s="1"/>
  <c r="D47" i="18"/>
  <c r="H47" i="18" s="1"/>
  <c r="C16" i="16"/>
  <c r="D11" i="16"/>
  <c r="D10" i="16"/>
  <c r="B56" i="16"/>
  <c r="G49" i="16"/>
  <c r="F49" i="16"/>
  <c r="G48" i="16"/>
  <c r="F48" i="16"/>
  <c r="G47" i="16"/>
  <c r="F47" i="16"/>
  <c r="G46" i="16"/>
  <c r="F46" i="16"/>
  <c r="G45" i="16"/>
  <c r="F45" i="16"/>
  <c r="G44" i="16"/>
  <c r="F44" i="16"/>
  <c r="G43" i="16"/>
  <c r="F43" i="16"/>
  <c r="G42" i="16"/>
  <c r="F42" i="16"/>
  <c r="G41" i="16"/>
  <c r="F41" i="16"/>
  <c r="G40" i="16"/>
  <c r="F40" i="16"/>
  <c r="G39" i="16"/>
  <c r="F39" i="16"/>
  <c r="G38" i="16"/>
  <c r="F38" i="16"/>
  <c r="F37" i="16"/>
  <c r="F36" i="16"/>
  <c r="G35" i="16"/>
  <c r="F35" i="16"/>
  <c r="G34" i="16"/>
  <c r="F34" i="16"/>
  <c r="G33" i="16"/>
  <c r="F33" i="16"/>
  <c r="B33" i="16"/>
  <c r="G32" i="16"/>
  <c r="F32" i="16"/>
  <c r="B25" i="16"/>
  <c r="B51" i="16" s="1"/>
  <c r="H22" i="16"/>
  <c r="E9" i="16" s="1"/>
  <c r="E15" i="16"/>
  <c r="E12" i="16"/>
  <c r="E11" i="16"/>
  <c r="E10" i="16"/>
  <c r="C5" i="16"/>
  <c r="C16" i="12"/>
  <c r="H22" i="12"/>
  <c r="C5" i="12"/>
  <c r="D15" i="12"/>
  <c r="D11" i="12"/>
  <c r="D10" i="12"/>
  <c r="D32" i="12"/>
  <c r="B28" i="12"/>
  <c r="B51" i="12"/>
  <c r="H33" i="12"/>
  <c r="H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32" i="12"/>
  <c r="D35" i="18" l="1"/>
  <c r="H35" i="18" s="1"/>
  <c r="B35" i="18"/>
  <c r="D34" i="18"/>
  <c r="B48" i="18"/>
  <c r="B39" i="16"/>
  <c r="B28" i="16"/>
  <c r="B37" i="16"/>
  <c r="D16" i="16"/>
  <c r="E16" i="16" s="1"/>
  <c r="B5" i="16"/>
  <c r="E8" i="16"/>
  <c r="B49" i="18" l="1"/>
  <c r="D49" i="18"/>
  <c r="H49" i="18" s="1"/>
  <c r="D48" i="18"/>
  <c r="H48" i="18" s="1"/>
  <c r="H34" i="18"/>
  <c r="D50" i="18"/>
  <c r="H50" i="18" s="1"/>
  <c r="B52" i="18" s="1"/>
  <c r="B59" i="18" s="1"/>
  <c r="D5" i="16"/>
  <c r="B7" i="16"/>
  <c r="D41" i="16"/>
  <c r="H41" i="16" s="1"/>
  <c r="D39" i="16"/>
  <c r="H39" i="16" s="1"/>
  <c r="D33" i="16"/>
  <c r="H33" i="16" s="1"/>
  <c r="D36" i="16"/>
  <c r="H36" i="16" s="1"/>
  <c r="D38" i="16"/>
  <c r="H38" i="16" s="1"/>
  <c r="D40" i="16"/>
  <c r="H40" i="16" s="1"/>
  <c r="D37" i="16"/>
  <c r="H37" i="16" s="1"/>
  <c r="D32" i="16"/>
  <c r="B6" i="16"/>
  <c r="D6" i="16" s="1"/>
  <c r="E6" i="16" s="1"/>
  <c r="B41" i="16"/>
  <c r="D43" i="16"/>
  <c r="H43" i="16" s="1"/>
  <c r="B17" i="14"/>
  <c r="D17" i="14" s="1"/>
  <c r="E17" i="14" s="1"/>
  <c r="B56" i="14"/>
  <c r="F49" i="14"/>
  <c r="F48" i="14"/>
  <c r="F35" i="14"/>
  <c r="F34" i="14"/>
  <c r="F47" i="14"/>
  <c r="F46" i="14"/>
  <c r="F45" i="14"/>
  <c r="F44" i="14"/>
  <c r="F43" i="14"/>
  <c r="F42" i="14"/>
  <c r="F41" i="14"/>
  <c r="F40" i="14"/>
  <c r="F39" i="14"/>
  <c r="F38" i="14"/>
  <c r="F33" i="14"/>
  <c r="B33" i="14"/>
  <c r="F32" i="14"/>
  <c r="B25" i="14"/>
  <c r="B51" i="14" s="1"/>
  <c r="D16" i="14"/>
  <c r="E16" i="14" s="1"/>
  <c r="D15" i="14"/>
  <c r="E15" i="14" s="1"/>
  <c r="E12" i="14"/>
  <c r="D11" i="14"/>
  <c r="E11" i="14" s="1"/>
  <c r="D10" i="14"/>
  <c r="E10" i="14" s="1"/>
  <c r="E9" i="14"/>
  <c r="E8" i="14"/>
  <c r="C5" i="14"/>
  <c r="B5" i="14"/>
  <c r="B7" i="14" s="1"/>
  <c r="D7" i="14" s="1"/>
  <c r="E7" i="14" s="1"/>
  <c r="G35" i="12"/>
  <c r="G34" i="12"/>
  <c r="B7" i="12"/>
  <c r="B56" i="12"/>
  <c r="D16" i="12"/>
  <c r="E16" i="12" s="1"/>
  <c r="E8" i="12"/>
  <c r="E9" i="12"/>
  <c r="E12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3" i="12"/>
  <c r="G32" i="12"/>
  <c r="B37" i="12"/>
  <c r="B25" i="12"/>
  <c r="B33" i="12"/>
  <c r="E15" i="12"/>
  <c r="E11" i="12"/>
  <c r="E10" i="12"/>
  <c r="B18" i="14" l="1"/>
  <c r="D18" i="14" s="1"/>
  <c r="E18" i="14" s="1"/>
  <c r="H32" i="16"/>
  <c r="B18" i="16"/>
  <c r="D18" i="16" s="1"/>
  <c r="E18" i="16" s="1"/>
  <c r="B17" i="16"/>
  <c r="D17" i="16" s="1"/>
  <c r="E17" i="16" s="1"/>
  <c r="D7" i="16"/>
  <c r="E7" i="16" s="1"/>
  <c r="B43" i="16"/>
  <c r="D42" i="16"/>
  <c r="H42" i="16" s="1"/>
  <c r="E5" i="16"/>
  <c r="D20" i="16"/>
  <c r="D7" i="12"/>
  <c r="E7" i="12" s="1"/>
  <c r="B17" i="12"/>
  <c r="D17" i="12"/>
  <c r="E17" i="12" s="1"/>
  <c r="B18" i="12"/>
  <c r="D18" i="12" s="1"/>
  <c r="E18" i="12" s="1"/>
  <c r="B28" i="14"/>
  <c r="D33" i="14" s="1"/>
  <c r="G33" i="14" s="1"/>
  <c r="B39" i="14"/>
  <c r="D39" i="14"/>
  <c r="G39" i="14" s="1"/>
  <c r="D36" i="14"/>
  <c r="G36" i="14" s="1"/>
  <c r="D5" i="14"/>
  <c r="B37" i="14"/>
  <c r="B6" i="14"/>
  <c r="D6" i="14" s="1"/>
  <c r="E6" i="14" s="1"/>
  <c r="D37" i="14"/>
  <c r="G37" i="14" s="1"/>
  <c r="D32" i="14"/>
  <c r="G32" i="14" s="1"/>
  <c r="D38" i="14"/>
  <c r="G38" i="14" s="1"/>
  <c r="B6" i="12"/>
  <c r="D6" i="12" s="1"/>
  <c r="E6" i="12" s="1"/>
  <c r="D5" i="12"/>
  <c r="D36" i="12"/>
  <c r="H36" i="12" s="1"/>
  <c r="D37" i="12"/>
  <c r="H37" i="12" s="1"/>
  <c r="E5" i="12" l="1"/>
  <c r="D20" i="12"/>
  <c r="B45" i="16"/>
  <c r="D45" i="16"/>
  <c r="H45" i="16" s="1"/>
  <c r="D44" i="16"/>
  <c r="H44" i="16" s="1"/>
  <c r="E5" i="14"/>
  <c r="B41" i="14"/>
  <c r="D41" i="14"/>
  <c r="G41" i="14" s="1"/>
  <c r="D40" i="14"/>
  <c r="G40" i="14" s="1"/>
  <c r="B39" i="12"/>
  <c r="D39" i="12"/>
  <c r="H39" i="12" s="1"/>
  <c r="D33" i="12"/>
  <c r="D38" i="12"/>
  <c r="H38" i="12" s="1"/>
  <c r="B47" i="16" l="1"/>
  <c r="D46" i="16"/>
  <c r="H46" i="16" s="1"/>
  <c r="D47" i="16"/>
  <c r="H47" i="16" s="1"/>
  <c r="B43" i="14"/>
  <c r="D42" i="14"/>
  <c r="D43" i="14"/>
  <c r="G43" i="14" s="1"/>
  <c r="B41" i="12"/>
  <c r="D41" i="12"/>
  <c r="H41" i="12" s="1"/>
  <c r="D40" i="12"/>
  <c r="H40" i="12" s="1"/>
  <c r="D35" i="16" l="1"/>
  <c r="H35" i="16" s="1"/>
  <c r="B35" i="16"/>
  <c r="D34" i="16"/>
  <c r="B48" i="16"/>
  <c r="G42" i="14"/>
  <c r="B45" i="14"/>
  <c r="D44" i="14"/>
  <c r="G44" i="14" s="1"/>
  <c r="D45" i="14"/>
  <c r="G45" i="14" s="1"/>
  <c r="B43" i="12"/>
  <c r="D42" i="12"/>
  <c r="H42" i="12" s="1"/>
  <c r="D43" i="12"/>
  <c r="H43" i="12" s="1"/>
  <c r="H34" i="16" l="1"/>
  <c r="B49" i="16"/>
  <c r="D48" i="16"/>
  <c r="H48" i="16" s="1"/>
  <c r="D49" i="16"/>
  <c r="H49" i="16" s="1"/>
  <c r="B47" i="14"/>
  <c r="D46" i="14"/>
  <c r="G46" i="14" s="1"/>
  <c r="D47" i="14"/>
  <c r="G47" i="14" s="1"/>
  <c r="B45" i="12"/>
  <c r="D44" i="12"/>
  <c r="H44" i="12" s="1"/>
  <c r="D45" i="12"/>
  <c r="H45" i="12" s="1"/>
  <c r="D50" i="16" l="1"/>
  <c r="H50" i="16" s="1"/>
  <c r="B52" i="16" s="1"/>
  <c r="B59" i="16" s="1"/>
  <c r="D35" i="14"/>
  <c r="G35" i="14" s="1"/>
  <c r="B35" i="14"/>
  <c r="B48" i="14" s="1"/>
  <c r="D34" i="14"/>
  <c r="G34" i="14" s="1"/>
  <c r="D35" i="12"/>
  <c r="H35" i="12" s="1"/>
  <c r="B35" i="12"/>
  <c r="D34" i="12"/>
  <c r="B47" i="12"/>
  <c r="B48" i="12" s="1"/>
  <c r="D46" i="12"/>
  <c r="H46" i="12" s="1"/>
  <c r="D47" i="12"/>
  <c r="H47" i="12" s="1"/>
  <c r="H34" i="12" l="1"/>
  <c r="B49" i="14"/>
  <c r="D48" i="14"/>
  <c r="G48" i="14" s="1"/>
  <c r="D49" i="14"/>
  <c r="D48" i="12"/>
  <c r="H48" i="12" s="1"/>
  <c r="B49" i="12"/>
  <c r="D49" i="12"/>
  <c r="H49" i="12" s="1"/>
  <c r="D50" i="12" l="1"/>
  <c r="H50" i="12" s="1"/>
  <c r="G49" i="14"/>
  <c r="G50" i="14" s="1"/>
  <c r="B52" i="14" s="1"/>
  <c r="B59" i="14" s="1"/>
  <c r="D50" i="14"/>
  <c r="B52" i="12"/>
  <c r="B59" i="12" s="1"/>
  <c r="B15" i="2" l="1"/>
  <c r="B14" i="2"/>
  <c r="C1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yihan liu （刘亦涵）</author>
  </authors>
  <commentList>
    <comment ref="A31" authorId="0" shapeId="0" xr:uid="{BAAB8721-032F-490D-81CA-863294449310}">
      <text>
        <r>
          <rPr>
            <b/>
            <sz val="9"/>
            <color indexed="81"/>
            <rFont val="宋体"/>
            <family val="3"/>
            <charset val="134"/>
          </rPr>
          <t>yihan liu （刘亦涵）:</t>
        </r>
        <r>
          <rPr>
            <sz val="9"/>
            <color indexed="81"/>
            <rFont val="宋体"/>
            <family val="3"/>
            <charset val="134"/>
          </rPr>
          <t xml:space="preserve">
按入境数据分布</t>
        </r>
      </text>
    </comment>
    <comment ref="B32" authorId="0" shapeId="0" xr:uid="{9AC10932-1E10-495C-9920-5D5C26627C08}">
      <text>
        <r>
          <rPr>
            <b/>
            <sz val="9"/>
            <color indexed="81"/>
            <rFont val="宋体"/>
            <family val="3"/>
            <charset val="134"/>
          </rPr>
          <t>yihan liu （刘亦涵）:</t>
        </r>
        <r>
          <rPr>
            <sz val="9"/>
            <color indexed="81"/>
            <rFont val="宋体"/>
            <family val="3"/>
            <charset val="134"/>
          </rPr>
          <t xml:space="preserve">
风控预期</t>
        </r>
      </text>
    </comment>
    <comment ref="B33" authorId="0" shapeId="0" xr:uid="{7FA67544-4149-4E02-B242-9D7F5B7E6906}">
      <text>
        <r>
          <rPr>
            <b/>
            <sz val="9"/>
            <color indexed="81"/>
            <rFont val="宋体"/>
            <family val="3"/>
            <charset val="134"/>
          </rPr>
          <t>yihan liu （刘亦涵）:</t>
        </r>
        <r>
          <rPr>
            <sz val="9"/>
            <color indexed="81"/>
            <rFont val="宋体"/>
            <family val="3"/>
            <charset val="134"/>
          </rPr>
          <t xml:space="preserve">
风控预期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yihan liu （刘亦涵）</author>
  </authors>
  <commentList>
    <comment ref="A31" authorId="0" shapeId="0" xr:uid="{FA669339-5A3B-42DB-BAC1-4FEC3C91AEF1}">
      <text>
        <r>
          <rPr>
            <b/>
            <sz val="9"/>
            <color indexed="81"/>
            <rFont val="宋体"/>
            <family val="3"/>
            <charset val="134"/>
          </rPr>
          <t>yihan liu （刘亦涵）:</t>
        </r>
        <r>
          <rPr>
            <sz val="9"/>
            <color indexed="81"/>
            <rFont val="宋体"/>
            <family val="3"/>
            <charset val="134"/>
          </rPr>
          <t xml:space="preserve">
按入境数据分布</t>
        </r>
      </text>
    </comment>
    <comment ref="B32" authorId="0" shapeId="0" xr:uid="{1AC5F5A6-FF96-4EAA-B29D-E311FE7DA174}">
      <text>
        <r>
          <rPr>
            <b/>
            <sz val="9"/>
            <color indexed="81"/>
            <rFont val="宋体"/>
            <family val="3"/>
            <charset val="134"/>
          </rPr>
          <t>yihan liu （刘亦涵）:</t>
        </r>
        <r>
          <rPr>
            <sz val="9"/>
            <color indexed="81"/>
            <rFont val="宋体"/>
            <family val="3"/>
            <charset val="134"/>
          </rPr>
          <t xml:space="preserve">
风控预期</t>
        </r>
      </text>
    </comment>
    <comment ref="B33" authorId="0" shapeId="0" xr:uid="{16A7263D-0E91-434C-9457-232D0FD2EB9F}">
      <text>
        <r>
          <rPr>
            <b/>
            <sz val="9"/>
            <color indexed="81"/>
            <rFont val="宋体"/>
            <family val="3"/>
            <charset val="134"/>
          </rPr>
          <t>yihan liu （刘亦涵）:</t>
        </r>
        <r>
          <rPr>
            <sz val="9"/>
            <color indexed="81"/>
            <rFont val="宋体"/>
            <family val="3"/>
            <charset val="134"/>
          </rPr>
          <t xml:space="preserve">
风控预期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yihan liu （刘亦涵）</author>
  </authors>
  <commentList>
    <comment ref="A31" authorId="0" shapeId="0" xr:uid="{252A922C-2A1A-417C-98F4-E581F3C7352B}">
      <text>
        <r>
          <rPr>
            <b/>
            <sz val="9"/>
            <color indexed="81"/>
            <rFont val="宋体"/>
            <family val="3"/>
            <charset val="134"/>
          </rPr>
          <t>yihan liu （刘亦涵）:</t>
        </r>
        <r>
          <rPr>
            <sz val="9"/>
            <color indexed="81"/>
            <rFont val="宋体"/>
            <family val="3"/>
            <charset val="134"/>
          </rPr>
          <t xml:space="preserve">
按入境数据分布</t>
        </r>
      </text>
    </comment>
    <comment ref="B32" authorId="0" shapeId="0" xr:uid="{0AB24523-4190-45F8-99F2-91DC29A7F2D2}">
      <text>
        <r>
          <rPr>
            <b/>
            <sz val="9"/>
            <color indexed="81"/>
            <rFont val="宋体"/>
            <family val="3"/>
            <charset val="134"/>
          </rPr>
          <t>yihan liu （刘亦涵）:</t>
        </r>
        <r>
          <rPr>
            <sz val="9"/>
            <color indexed="81"/>
            <rFont val="宋体"/>
            <family val="3"/>
            <charset val="134"/>
          </rPr>
          <t xml:space="preserve">
风控预期</t>
        </r>
      </text>
    </comment>
    <comment ref="B33" authorId="0" shapeId="0" xr:uid="{179289CB-35BD-4CA1-B20D-B863049002B9}">
      <text>
        <r>
          <rPr>
            <b/>
            <sz val="9"/>
            <color indexed="81"/>
            <rFont val="宋体"/>
            <family val="3"/>
            <charset val="134"/>
          </rPr>
          <t>yihan liu （刘亦涵）:</t>
        </r>
        <r>
          <rPr>
            <sz val="9"/>
            <color indexed="81"/>
            <rFont val="宋体"/>
            <family val="3"/>
            <charset val="134"/>
          </rPr>
          <t xml:space="preserve">
风控预期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yihan liu （刘亦涵）</author>
  </authors>
  <commentList>
    <comment ref="A31" authorId="0" shapeId="0" xr:uid="{915F0C37-D7C1-4D2E-B743-6431DA847465}">
      <text>
        <r>
          <rPr>
            <b/>
            <sz val="9"/>
            <color indexed="81"/>
            <rFont val="宋体"/>
            <family val="3"/>
            <charset val="134"/>
          </rPr>
          <t>yihan liu （刘亦涵）:</t>
        </r>
        <r>
          <rPr>
            <sz val="9"/>
            <color indexed="81"/>
            <rFont val="宋体"/>
            <family val="3"/>
            <charset val="134"/>
          </rPr>
          <t xml:space="preserve">
按入境数据分布</t>
        </r>
      </text>
    </comment>
    <comment ref="B32" authorId="0" shapeId="0" xr:uid="{370FEBAA-2345-4BF3-A93D-46934E992466}">
      <text>
        <r>
          <rPr>
            <b/>
            <sz val="9"/>
            <color indexed="81"/>
            <rFont val="宋体"/>
            <family val="3"/>
            <charset val="134"/>
          </rPr>
          <t>yihan liu （刘亦涵）:</t>
        </r>
        <r>
          <rPr>
            <sz val="9"/>
            <color indexed="81"/>
            <rFont val="宋体"/>
            <family val="3"/>
            <charset val="134"/>
          </rPr>
          <t xml:space="preserve">
风控预期</t>
        </r>
      </text>
    </comment>
    <comment ref="B33" authorId="0" shapeId="0" xr:uid="{DE963387-73F3-41F0-9D54-8C62E00F4558}">
      <text>
        <r>
          <rPr>
            <b/>
            <sz val="9"/>
            <color indexed="81"/>
            <rFont val="宋体"/>
            <family val="3"/>
            <charset val="134"/>
          </rPr>
          <t>yihan liu （刘亦涵）:</t>
        </r>
        <r>
          <rPr>
            <sz val="9"/>
            <color indexed="81"/>
            <rFont val="宋体"/>
            <family val="3"/>
            <charset val="134"/>
          </rPr>
          <t xml:space="preserve">
风控预期</t>
        </r>
      </text>
    </comment>
  </commentList>
</comments>
</file>

<file path=xl/sharedStrings.xml><?xml version="1.0" encoding="utf-8"?>
<sst xmlns="http://schemas.openxmlformats.org/spreadsheetml/2006/main" count="539" uniqueCount="180">
  <si>
    <r>
      <rPr>
        <sz val="9"/>
        <color rgb="FF000000"/>
        <rFont val="Calibri"/>
        <family val="2"/>
      </rPr>
      <t xml:space="preserve">景区先收的钱都自己再GT系统下单。
我们根据GT系统校验，每双周景区通过分销回款到TIRP。
</t>
    </r>
    <r>
      <rPr>
        <sz val="9"/>
        <color rgb="FFF54A45"/>
        <rFont val="Calibri"/>
        <family val="2"/>
      </rPr>
      <t>景区分销回款的部分，要确认TRIP不用开发票给景区。
要确认回款的部分，实际不进GT系统，只进TIRP系统。</t>
    </r>
  </si>
  <si>
    <t>渠道 (Channel)</t>
  </si>
  <si>
    <t>支付方式 (Payment Method)</t>
  </si>
  <si>
    <t>Selling system</t>
  </si>
  <si>
    <t>谁收款 (Payee)</t>
  </si>
  <si>
    <t>支付时间 (Payment timing to TRIP)</t>
  </si>
  <si>
    <t>百分比 (%)</t>
  </si>
  <si>
    <t>还款是否含税 
 (Repayment Principal inc tax?)</t>
  </si>
  <si>
    <t>4.5%是否含税
 (4.5% inc tax?)</t>
  </si>
  <si>
    <t>预付GMV/年</t>
  </si>
  <si>
    <t>是否需要对下游开发票
 Invoice to Downstream?</t>
  </si>
  <si>
    <t>什么主体签约 
 (Signing Entity)</t>
  </si>
  <si>
    <t>备注 (Remarks)</t>
  </si>
  <si>
    <t>景区原有渠道（团队、线下)
 Scenic Spot Original (Agent / Group / Offline/Website)</t>
  </si>
  <si>
    <t>汇款 (Remittance/ Bank transfer)</t>
  </si>
  <si>
    <t>GT plugin system.</t>
  </si>
  <si>
    <t>NN</t>
  </si>
  <si>
    <t>Weekly settlement / Monthly remittance</t>
  </si>
  <si>
    <t>否 (No)</t>
  </si>
  <si>
    <t>4.5% commission 
 (W/H Tax deducted at source)</t>
  </si>
  <si>
    <t>Needed to get a consultation from TH-CFO &amp; Legal</t>
  </si>
  <si>
    <t xml:space="preserve">ctrip hongkong </t>
  </si>
  <si>
    <t>窗口（大门口及园内二销
 Box office (Walk-in)</t>
  </si>
  <si>
    <t>现金/信用卡 (Cash / Credit card)</t>
  </si>
  <si>
    <t>根据前置信息
 (Based on previous info)</t>
  </si>
  <si>
    <t>司机带客的部分
 (Taxi driver / local agent bring guests to park)</t>
  </si>
  <si>
    <t>现金、线上、票机</t>
  </si>
  <si>
    <t>GT plugin system. / Ticket Machine</t>
  </si>
  <si>
    <t>携程的分销渠道+线上 (Trip's distributor / Online platform)</t>
  </si>
  <si>
    <t>线上 (Online)</t>
  </si>
  <si>
    <t>Trip/CTRIP-APP, distributors</t>
  </si>
  <si>
    <t>TRIP</t>
  </si>
  <si>
    <t>Instantly</t>
  </si>
  <si>
    <t>N/A</t>
  </si>
  <si>
    <t>分销的外国公司不需要，泰国公司需要
 Not required for foreign distribution companies; required for Thai companies.</t>
  </si>
  <si>
    <t>票机（大门口)
 Ticket Machine (Main Gate)</t>
  </si>
  <si>
    <t>线上和信用卡 (Online / Credit Card)</t>
  </si>
  <si>
    <t>Ticket Machine</t>
  </si>
  <si>
    <t>香港/新加坡 
 (Hong Kong/Singapore)</t>
  </si>
  <si>
    <t>GT的分销渠道 (GT Distribution Channels)</t>
  </si>
  <si>
    <t>GT's distributor</t>
  </si>
  <si>
    <t>GT</t>
  </si>
  <si>
    <t>需要 (Required by GT)</t>
  </si>
  <si>
    <t>签约主体</t>
  </si>
  <si>
    <t>合同金额</t>
  </si>
  <si>
    <t xml:space="preserve"> 收益</t>
  </si>
  <si>
    <t>备注</t>
  </si>
  <si>
    <t xml:space="preserve">Ctrip hongkong </t>
  </si>
  <si>
    <t xml:space="preserve"> </t>
  </si>
  <si>
    <t xml:space="preserve">Trip vaction </t>
  </si>
  <si>
    <t>线上+GT分销都可以用这个账户，佣金约12%-15%，税金可以用公司成本抵扣</t>
  </si>
  <si>
    <t>泰铢</t>
  </si>
  <si>
    <t>利率</t>
  </si>
  <si>
    <t>收益</t>
  </si>
  <si>
    <t>景区渠道</t>
  </si>
  <si>
    <t>免票价值（增值部分）</t>
  </si>
  <si>
    <t>泰国客人价值</t>
  </si>
  <si>
    <t>1800000*1.44%(泰国人线上1.5%）*300*10%</t>
  </si>
  <si>
    <t>已确认GT接受这个价格 按0.8泰铢每票计算</t>
  </si>
  <si>
    <t>trip快速通道价值+景区广告收益</t>
  </si>
  <si>
    <t>品牌收益3000000</t>
  </si>
  <si>
    <t>Total</t>
  </si>
  <si>
    <t>"TRIP receives: (1) Principal amount with no tax deduction, plus (2) 4.5% commission subject to 15% WHT deducted at source."
 Example: When NN sells a ticket to Agent A at Net 1,000 THB, but has a contract with TRIP at 850 THB. 
 TRIP will get 850 THB principal + 38.25 THB commission (less 5.74 THB WHT) = 882.51 THB total</t>
    <phoneticPr fontId="6" type="noConversion"/>
  </si>
  <si>
    <t>资金成本 - 单笔打款</t>
    <phoneticPr fontId="6" type="noConversion"/>
  </si>
  <si>
    <t>泰国电商Lazada 均价200CNY，加上印刷，安装费，预计不超过1000CNY/个
景区40家店铺，预计摆放40个易拉宝+预留20%的物料损耗</t>
  </si>
  <si>
    <t>预计单张1元，180万*1*5汇率，可follow 业务数据</t>
  </si>
  <si>
    <t>300CNY/人/天</t>
  </si>
  <si>
    <t>GT系统成本</t>
    <phoneticPr fontId="6" type="noConversion"/>
  </si>
  <si>
    <t>单门票独家</t>
  </si>
  <si>
    <t>单票明年OTA都不让卖
原TRIP单票占总体10%，独家后按15%估。低版按低值10%预估</t>
  </si>
  <si>
    <t>卡费（仅ToC）</t>
  </si>
  <si>
    <t>投放、客服（仅ToC）</t>
  </si>
  <si>
    <t>项目收入</t>
    <phoneticPr fontId="6" type="noConversion"/>
  </si>
  <si>
    <t>项目成本</t>
    <phoneticPr fontId="6" type="noConversion"/>
  </si>
  <si>
    <t>成本</t>
    <phoneticPr fontId="6" type="noConversion"/>
  </si>
  <si>
    <t>项目净收益率</t>
    <phoneticPr fontId="6" type="noConversion"/>
  </si>
  <si>
    <t>YOY有下降趋势，按风控测预估5亿需消耗15个月，已按照线性消耗/2</t>
    <phoneticPr fontId="6" type="noConversion"/>
  </si>
  <si>
    <t>新客价值net</t>
    <phoneticPr fontId="6" type="noConversion"/>
  </si>
  <si>
    <t>新客价值/年</t>
    <phoneticPr fontId="6" type="noConversion"/>
  </si>
  <si>
    <t>切客率</t>
    <phoneticPr fontId="6" type="noConversion"/>
  </si>
  <si>
    <t>客源地Nationality</t>
  </si>
  <si>
    <t>客源占比Ratio</t>
  </si>
  <si>
    <t>拉新渠道New User Channels</t>
  </si>
  <si>
    <t>/</t>
  </si>
  <si>
    <t>单新客价值THB</t>
    <phoneticPr fontId="6" type="noConversion"/>
  </si>
  <si>
    <t>预估新客数New Users</t>
    <phoneticPr fontId="6" type="noConversion"/>
  </si>
  <si>
    <t>票面收入</t>
    <phoneticPr fontId="6" type="noConversion"/>
  </si>
  <si>
    <t>总收入</t>
    <phoneticPr fontId="6" type="noConversion"/>
  </si>
  <si>
    <t>印刷成本</t>
    <phoneticPr fontId="6" type="noConversion"/>
  </si>
  <si>
    <t>易拉宝成本</t>
    <phoneticPr fontId="6" type="noConversion"/>
  </si>
  <si>
    <t>人力成本</t>
    <phoneticPr fontId="6" type="noConversion"/>
  </si>
  <si>
    <t>净新客价值</t>
    <phoneticPr fontId="6" type="noConversion"/>
  </si>
  <si>
    <t>景区补贴</t>
    <phoneticPr fontId="6" type="noConversion"/>
  </si>
  <si>
    <t>TH</t>
    <phoneticPr fontId="6" type="noConversion"/>
  </si>
  <si>
    <t>APP比例</t>
    <phoneticPr fontId="6" type="noConversion"/>
  </si>
  <si>
    <t>APP</t>
    <phoneticPr fontId="6" type="noConversion"/>
  </si>
  <si>
    <t>walk-in入园量</t>
    <phoneticPr fontId="6" type="noConversion"/>
  </si>
  <si>
    <t>新客率</t>
    <phoneticPr fontId="6" type="noConversion"/>
  </si>
  <si>
    <t>总新客人数</t>
    <phoneticPr fontId="6" type="noConversion"/>
  </si>
  <si>
    <t>H5</t>
    <phoneticPr fontId="6" type="noConversion"/>
  </si>
  <si>
    <t>单用户补贴成本</t>
    <phoneticPr fontId="6" type="noConversion"/>
  </si>
  <si>
    <t>HK</t>
    <phoneticPr fontId="6" type="noConversion"/>
  </si>
  <si>
    <t>TW</t>
    <phoneticPr fontId="6" type="noConversion"/>
  </si>
  <si>
    <t>US</t>
    <phoneticPr fontId="6" type="noConversion"/>
  </si>
  <si>
    <t>KR</t>
    <phoneticPr fontId="6" type="noConversion"/>
  </si>
  <si>
    <t>JP</t>
    <phoneticPr fontId="6" type="noConversion"/>
  </si>
  <si>
    <t>CN</t>
    <phoneticPr fontId="6" type="noConversion"/>
  </si>
  <si>
    <t>others</t>
    <phoneticPr fontId="6" type="noConversion"/>
  </si>
  <si>
    <t>地推拉新净收益</t>
    <phoneticPr fontId="6" type="noConversion"/>
  </si>
  <si>
    <t>资金成本 - 分四笔打款</t>
    <phoneticPr fontId="6" type="noConversion"/>
  </si>
  <si>
    <t>景区渠道利率</t>
    <phoneticPr fontId="6" type="noConversion"/>
  </si>
  <si>
    <t>ctrip+trip (2c)</t>
    <phoneticPr fontId="6" type="noConversion"/>
  </si>
  <si>
    <t>ctrip+trip (2b)</t>
    <phoneticPr fontId="6" type="noConversion"/>
  </si>
  <si>
    <t>IBU数据</t>
    <phoneticPr fontId="6" type="noConversion"/>
  </si>
  <si>
    <t>湄南河数据</t>
    <phoneticPr fontId="6" type="noConversion"/>
  </si>
  <si>
    <t>5%用vacation签约，需缴纳佣金部分的15%所得税</t>
    <phoneticPr fontId="6" type="noConversion"/>
  </si>
  <si>
    <t>目前产量占比</t>
    <phoneticPr fontId="6" type="noConversion"/>
  </si>
  <si>
    <t>占500M比例</t>
    <phoneticPr fontId="6" type="noConversion"/>
  </si>
  <si>
    <t>单用户发券金额</t>
    <phoneticPr fontId="6" type="noConversion"/>
  </si>
  <si>
    <t>MY</t>
    <phoneticPr fontId="6" type="noConversion"/>
  </si>
  <si>
    <t>景区渠道产量比例</t>
    <phoneticPr fontId="6" type="noConversion"/>
  </si>
  <si>
    <t>携程产量比例</t>
    <phoneticPr fontId="6" type="noConversion"/>
  </si>
  <si>
    <t>若携程承担券成本，不建议</t>
    <phoneticPr fontId="6" type="noConversion"/>
  </si>
  <si>
    <t>单新客价值CNY</t>
    <phoneticPr fontId="6" type="noConversion"/>
  </si>
  <si>
    <t>费率</t>
    <phoneticPr fontId="6" type="noConversion"/>
  </si>
  <si>
    <t>month</t>
    <phoneticPr fontId="6" type="noConversion"/>
  </si>
  <si>
    <t>amt</t>
    <phoneticPr fontId="6" type="noConversion"/>
  </si>
  <si>
    <t>单笔打款</t>
    <phoneticPr fontId="6" type="noConversion"/>
  </si>
  <si>
    <t>4笔打款</t>
    <phoneticPr fontId="6" type="noConversion"/>
  </si>
  <si>
    <t>占单笔付款比例</t>
    <phoneticPr fontId="6" type="noConversion"/>
  </si>
  <si>
    <t>项目收益</t>
  </si>
  <si>
    <t>项目成本</t>
  </si>
  <si>
    <t>资金成本 - 分三笔打款</t>
    <phoneticPr fontId="6" type="noConversion"/>
  </si>
  <si>
    <t>投入</t>
    <phoneticPr fontId="6" type="noConversion"/>
  </si>
  <si>
    <t>景区渠道收回毛利</t>
    <phoneticPr fontId="6" type="noConversion"/>
  </si>
  <si>
    <t>直销渠道收回毛利</t>
    <phoneticPr fontId="6" type="noConversion"/>
  </si>
  <si>
    <t>新客价值</t>
    <phoneticPr fontId="6" type="noConversion"/>
  </si>
  <si>
    <t>免票、泰国客人、单门票独家</t>
    <phoneticPr fontId="6" type="noConversion"/>
  </si>
  <si>
    <t>GT成本</t>
    <phoneticPr fontId="6" type="noConversion"/>
  </si>
  <si>
    <t>Mil THB</t>
    <phoneticPr fontId="6" type="noConversion"/>
  </si>
  <si>
    <t>卡费+投放</t>
    <phoneticPr fontId="6" type="noConversion"/>
  </si>
  <si>
    <t>景区渠道利率要求</t>
    <phoneticPr fontId="6" type="noConversion"/>
  </si>
  <si>
    <t>22%切客率</t>
    <phoneticPr fontId="6" type="noConversion"/>
  </si>
  <si>
    <t>YOY有下降趋势，按风控测预估4.5亿需消耗14个月，已按照线性消耗/2</t>
    <phoneticPr fontId="6" type="noConversion"/>
  </si>
  <si>
    <t>4.5亿预付款付款次数</t>
    <phoneticPr fontId="6" type="noConversion"/>
  </si>
  <si>
    <t>30%切客率</t>
    <phoneticPr fontId="6" type="noConversion"/>
  </si>
  <si>
    <t>for 3%新增毛利率目标</t>
    <phoneticPr fontId="6" type="noConversion"/>
  </si>
  <si>
    <t>预付款累计收回</t>
    <phoneticPr fontId="6" type="noConversion"/>
  </si>
  <si>
    <t>预付款单月收回</t>
    <phoneticPr fontId="6" type="noConversion"/>
  </si>
  <si>
    <t>当期现金流</t>
    <phoneticPr fontId="6" type="noConversion"/>
  </si>
  <si>
    <t>累计资占</t>
    <phoneticPr fontId="6" type="noConversion"/>
  </si>
  <si>
    <t>累计现金流</t>
    <phoneticPr fontId="6" type="noConversion"/>
  </si>
  <si>
    <t>票面毛利率</t>
    <phoneticPr fontId="6" type="noConversion"/>
  </si>
  <si>
    <t>年化收益率</t>
    <phoneticPr fontId="6" type="noConversion"/>
  </si>
  <si>
    <t>票面毛利CNY Million</t>
    <phoneticPr fontId="6" type="noConversion"/>
  </si>
  <si>
    <t>新增毛利CNY Million</t>
    <phoneticPr fontId="6" type="noConversion"/>
  </si>
  <si>
    <t>每周回款</t>
    <phoneticPr fontId="6" type="noConversion"/>
  </si>
  <si>
    <t>12个月消耗500M THB</t>
    <phoneticPr fontId="6" type="noConversion"/>
  </si>
  <si>
    <t>净利率</t>
    <phoneticPr fontId="6" type="noConversion"/>
  </si>
  <si>
    <t>日期</t>
    <phoneticPr fontId="6" type="noConversion"/>
  </si>
  <si>
    <t>景区渠道毛利率</t>
    <phoneticPr fontId="6" type="noConversion"/>
  </si>
  <si>
    <t>景区渠道产量占比</t>
    <phoneticPr fontId="6" type="noConversion"/>
  </si>
  <si>
    <t>票机渠道毛利率</t>
    <phoneticPr fontId="6" type="noConversion"/>
  </si>
  <si>
    <t>票机渠道产量占比</t>
    <phoneticPr fontId="6" type="noConversion"/>
  </si>
  <si>
    <t>Trip线上渠道毛利率</t>
    <phoneticPr fontId="6" type="noConversion"/>
  </si>
  <si>
    <t>Trip线上渠道产量占比</t>
    <phoneticPr fontId="6" type="noConversion"/>
  </si>
  <si>
    <t>Trip线下渠道毛利率</t>
    <phoneticPr fontId="6" type="noConversion"/>
  </si>
  <si>
    <t>Trip线下渠道产量占比</t>
    <phoneticPr fontId="6" type="noConversion"/>
  </si>
  <si>
    <t>预计单月回款</t>
    <phoneticPr fontId="6" type="noConversion"/>
  </si>
  <si>
    <t>票机渠道收回毛利</t>
    <phoneticPr fontId="6" type="noConversion"/>
  </si>
  <si>
    <t>Trip线上渠道收回毛利</t>
    <phoneticPr fontId="6" type="noConversion"/>
  </si>
  <si>
    <t>Trip线下渠道收回毛利</t>
    <phoneticPr fontId="6" type="noConversion"/>
  </si>
  <si>
    <t>其他收益（免票等）</t>
    <phoneticPr fontId="6" type="noConversion"/>
  </si>
  <si>
    <t>资金占用成本（费率）</t>
    <phoneticPr fontId="6" type="noConversion"/>
  </si>
  <si>
    <t>卡费+投放（费率）</t>
    <phoneticPr fontId="6" type="noConversion"/>
  </si>
  <si>
    <t>景区渠道月回款次数</t>
    <phoneticPr fontId="6" type="noConversion"/>
  </si>
  <si>
    <t>票面毛利</t>
    <phoneticPr fontId="6" type="noConversion"/>
  </si>
  <si>
    <t>新增毛利</t>
    <phoneticPr fontId="6" type="noConversion"/>
  </si>
  <si>
    <t>银行利率</t>
    <phoneticPr fontId="6" type="noConversion"/>
  </si>
  <si>
    <t>计算结果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</si>
</sst>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.0%"/>
    <numFmt numFmtId="177" formatCode="#,##0_);[Red]\(#,##0\)"/>
    <numFmt numFmtId="178" formatCode="_ * #,##0_ ;_ * \-#,##0_ ;_ * &quot;-&quot;??_ ;_ @_ "/>
    <numFmt numFmtId="179" formatCode="0.0"/>
    <numFmt numFmtId="180" formatCode="0.00_ "/>
  </numFmts>
  <fonts count="23" x14ac:knownFonts="1">
    <font>
      <sz val="10"/>
      <color theme="1"/>
      <name val="等线"/>
      <family val="2"/>
      <scheme val="minor"/>
    </font>
    <font>
      <sz val="9"/>
      <color rgb="FF000000"/>
      <name val="等线"/>
      <family val="2"/>
      <scheme val="minor"/>
    </font>
    <font>
      <b/>
      <sz val="9"/>
      <color rgb="FF000000"/>
      <name val="等线"/>
      <family val="2"/>
      <scheme val="minor"/>
    </font>
    <font>
      <sz val="9"/>
      <color rgb="FF000000"/>
      <name val="Calibri"/>
      <family val="2"/>
    </font>
    <font>
      <sz val="9"/>
      <color rgb="FFF54A45"/>
      <name val="Calibri"/>
      <family val="2"/>
    </font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9"/>
      <color rgb="FF00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rgb="FF373C43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rgb="FF1F2329"/>
      <name val="等线"/>
      <family val="3"/>
      <charset val="134"/>
      <scheme val="minor"/>
    </font>
    <font>
      <sz val="10"/>
      <color rgb="FF1F2329"/>
      <name val="等线"/>
      <family val="3"/>
      <charset val="134"/>
      <scheme val="minor"/>
    </font>
    <font>
      <b/>
      <sz val="10"/>
      <color theme="4" tint="-0.249977111117893"/>
      <name val="等线"/>
      <family val="3"/>
      <charset val="134"/>
      <scheme val="minor"/>
    </font>
    <font>
      <b/>
      <sz val="10.5"/>
      <color theme="4" tint="-0.249977111117893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9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EDAF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DEE0E3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DEE0E3"/>
      </right>
      <top style="thin">
        <color rgb="FFDEE0E3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EE0E3"/>
      </left>
      <right/>
      <top style="thin">
        <color rgb="FFDEE0E3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</borders>
  <cellStyleXfs count="5">
    <xf numFmtId="0" fontId="0" fillId="0" borderId="0" applyNumberFormat="0" applyFont="0" applyFill="0" applyBorder="0" applyProtection="0"/>
    <xf numFmtId="9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5" fillId="0" borderId="14" applyNumberFormat="0" applyFont="0" applyFill="0" applyBorder="0" applyProtection="0"/>
    <xf numFmtId="0" fontId="21" fillId="0" borderId="14">
      <alignment vertical="center"/>
    </xf>
  </cellStyleXfs>
  <cellXfs count="182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9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9" fontId="1" fillId="0" borderId="5" xfId="0" applyNumberFormat="1" applyFont="1" applyBorder="1" applyAlignment="1">
      <alignment horizontal="left" vertical="center"/>
    </xf>
    <xf numFmtId="9" fontId="1" fillId="0" borderId="6" xfId="0" applyNumberFormat="1" applyFont="1" applyBorder="1" applyAlignment="1">
      <alignment vertical="center" wrapText="1"/>
    </xf>
    <xf numFmtId="9" fontId="1" fillId="0" borderId="7" xfId="0" applyNumberFormat="1" applyFont="1" applyBorder="1" applyAlignment="1">
      <alignment vertical="center"/>
    </xf>
    <xf numFmtId="0" fontId="0" fillId="0" borderId="8" xfId="0" applyBorder="1"/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9" fillId="0" borderId="15" xfId="0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Fill="1" applyAlignment="1">
      <alignment vertical="center" wrapText="1"/>
    </xf>
    <xf numFmtId="0" fontId="8" fillId="0" borderId="2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8" fillId="0" borderId="2" xfId="0" applyFont="1" applyBorder="1" applyAlignment="1">
      <alignment vertical="center"/>
    </xf>
    <xf numFmtId="0" fontId="11" fillId="0" borderId="0" xfId="0" applyFont="1" applyFill="1" applyAlignment="1">
      <alignment vertical="center"/>
    </xf>
    <xf numFmtId="0" fontId="11" fillId="0" borderId="15" xfId="0" applyFont="1" applyBorder="1" applyAlignment="1">
      <alignment vertical="center"/>
    </xf>
    <xf numFmtId="9" fontId="11" fillId="0" borderId="15" xfId="0" applyNumberFormat="1" applyFont="1" applyBorder="1" applyAlignment="1">
      <alignment vertical="center"/>
    </xf>
    <xf numFmtId="0" fontId="8" fillId="0" borderId="13" xfId="0" applyFont="1" applyFill="1" applyBorder="1" applyAlignment="1">
      <alignment horizontal="left" vertical="center"/>
    </xf>
    <xf numFmtId="9" fontId="8" fillId="0" borderId="7" xfId="0" applyNumberFormat="1" applyFont="1" applyFill="1" applyBorder="1" applyAlignment="1">
      <alignment vertical="center"/>
    </xf>
    <xf numFmtId="9" fontId="11" fillId="0" borderId="0" xfId="0" applyNumberFormat="1" applyFont="1" applyAlignment="1">
      <alignment vertical="center"/>
    </xf>
    <xf numFmtId="177" fontId="8" fillId="0" borderId="19" xfId="0" applyNumberFormat="1" applyFont="1" applyBorder="1" applyAlignment="1"/>
    <xf numFmtId="10" fontId="8" fillId="0" borderId="19" xfId="0" applyNumberFormat="1" applyFont="1" applyBorder="1" applyAlignment="1"/>
    <xf numFmtId="3" fontId="8" fillId="0" borderId="19" xfId="0" applyNumberFormat="1" applyFont="1" applyBorder="1" applyAlignment="1"/>
    <xf numFmtId="9" fontId="8" fillId="0" borderId="19" xfId="0" applyNumberFormat="1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11" fillId="0" borderId="19" xfId="3" applyFont="1" applyBorder="1" applyAlignment="1">
      <alignment vertical="center"/>
    </xf>
    <xf numFmtId="3" fontId="8" fillId="0" borderId="19" xfId="3" applyNumberFormat="1" applyFont="1" applyBorder="1"/>
    <xf numFmtId="0" fontId="11" fillId="0" borderId="17" xfId="0" applyFont="1" applyFill="1" applyBorder="1" applyAlignment="1">
      <alignment vertical="center"/>
    </xf>
    <xf numFmtId="0" fontId="11" fillId="0" borderId="18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Fill="1" applyBorder="1" applyAlignment="1">
      <alignment vertical="center"/>
    </xf>
    <xf numFmtId="10" fontId="11" fillId="0" borderId="19" xfId="0" applyNumberFormat="1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10" fontId="10" fillId="4" borderId="21" xfId="1" applyNumberFormat="1" applyFont="1" applyFill="1" applyBorder="1" applyAlignment="1">
      <alignment vertical="center"/>
    </xf>
    <xf numFmtId="0" fontId="7" fillId="6" borderId="22" xfId="0" applyFont="1" applyFill="1" applyBorder="1" applyAlignment="1">
      <alignment horizontal="left" vertical="center"/>
    </xf>
    <xf numFmtId="0" fontId="15" fillId="3" borderId="22" xfId="0" applyFont="1" applyFill="1" applyBorder="1" applyAlignment="1">
      <alignment horizontal="center" vertical="center"/>
    </xf>
    <xf numFmtId="0" fontId="15" fillId="7" borderId="22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/>
    </xf>
    <xf numFmtId="0" fontId="11" fillId="0" borderId="24" xfId="0" applyFont="1" applyBorder="1" applyAlignment="1">
      <alignment vertical="center"/>
    </xf>
    <xf numFmtId="0" fontId="8" fillId="0" borderId="14" xfId="0" applyFont="1" applyFill="1" applyBorder="1" applyAlignment="1">
      <alignment vertical="center" wrapText="1"/>
    </xf>
    <xf numFmtId="0" fontId="7" fillId="6" borderId="25" xfId="0" applyFont="1" applyFill="1" applyBorder="1" applyAlignment="1">
      <alignment horizontal="left" vertical="center"/>
    </xf>
    <xf numFmtId="9" fontId="14" fillId="6" borderId="25" xfId="0" applyNumberFormat="1" applyFont="1" applyFill="1" applyBorder="1" applyAlignment="1">
      <alignment horizontal="left" vertical="center"/>
    </xf>
    <xf numFmtId="0" fontId="15" fillId="3" borderId="25" xfId="0" applyFont="1" applyFill="1" applyBorder="1" applyAlignment="1">
      <alignment horizontal="center" vertical="center"/>
    </xf>
    <xf numFmtId="0" fontId="7" fillId="6" borderId="26" xfId="0" applyFont="1" applyFill="1" applyBorder="1" applyAlignment="1">
      <alignment horizontal="left" vertical="center"/>
    </xf>
    <xf numFmtId="0" fontId="15" fillId="3" borderId="26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left" vertical="center"/>
    </xf>
    <xf numFmtId="9" fontId="14" fillId="6" borderId="19" xfId="0" applyNumberFormat="1" applyFont="1" applyFill="1" applyBorder="1" applyAlignment="1">
      <alignment horizontal="left" vertical="center"/>
    </xf>
    <xf numFmtId="1" fontId="15" fillId="7" borderId="22" xfId="0" applyNumberFormat="1" applyFont="1" applyFill="1" applyBorder="1" applyAlignment="1">
      <alignment horizontal="center" vertical="center"/>
    </xf>
    <xf numFmtId="9" fontId="7" fillId="6" borderId="22" xfId="0" applyNumberFormat="1" applyFont="1" applyFill="1" applyBorder="1" applyAlignment="1">
      <alignment horizontal="left" vertical="center"/>
    </xf>
    <xf numFmtId="178" fontId="11" fillId="0" borderId="0" xfId="2" applyNumberFormat="1" applyFont="1" applyFill="1" applyAlignment="1">
      <alignment vertical="center"/>
    </xf>
    <xf numFmtId="0" fontId="8" fillId="5" borderId="19" xfId="0" applyFont="1" applyFill="1" applyBorder="1" applyAlignment="1">
      <alignment horizontal="center" vertical="center"/>
    </xf>
    <xf numFmtId="0" fontId="11" fillId="0" borderId="27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9" fontId="13" fillId="0" borderId="19" xfId="0" applyNumberFormat="1" applyFont="1" applyBorder="1" applyAlignment="1">
      <alignment vertical="center"/>
    </xf>
    <xf numFmtId="0" fontId="15" fillId="3" borderId="23" xfId="0" applyFont="1" applyFill="1" applyBorder="1" applyAlignment="1">
      <alignment horizontal="center" vertical="center"/>
    </xf>
    <xf numFmtId="0" fontId="15" fillId="7" borderId="23" xfId="0" applyFont="1" applyFill="1" applyBorder="1" applyAlignment="1">
      <alignment horizontal="center" vertical="center"/>
    </xf>
    <xf numFmtId="178" fontId="11" fillId="0" borderId="19" xfId="2" applyNumberFormat="1" applyFont="1" applyFill="1" applyBorder="1" applyAlignment="1">
      <alignment vertical="center"/>
    </xf>
    <xf numFmtId="0" fontId="7" fillId="6" borderId="25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vertical="center"/>
    </xf>
    <xf numFmtId="0" fontId="8" fillId="0" borderId="19" xfId="0" applyFont="1" applyFill="1" applyBorder="1" applyAlignment="1">
      <alignment horizontal="left" vertical="center"/>
    </xf>
    <xf numFmtId="178" fontId="9" fillId="0" borderId="19" xfId="2" applyNumberFormat="1" applyFont="1" applyBorder="1" applyAlignment="1">
      <alignment vertical="center"/>
    </xf>
    <xf numFmtId="0" fontId="20" fillId="0" borderId="19" xfId="0" applyFont="1" applyFill="1" applyBorder="1" applyAlignment="1">
      <alignment vertical="center"/>
    </xf>
    <xf numFmtId="178" fontId="13" fillId="0" borderId="19" xfId="0" applyNumberFormat="1" applyFont="1" applyBorder="1" applyAlignment="1">
      <alignment vertical="center"/>
    </xf>
    <xf numFmtId="10" fontId="11" fillId="8" borderId="0" xfId="0" applyNumberFormat="1" applyFont="1" applyFill="1" applyAlignment="1">
      <alignment vertical="center"/>
    </xf>
    <xf numFmtId="178" fontId="8" fillId="0" borderId="19" xfId="2" applyNumberFormat="1" applyFont="1" applyBorder="1" applyAlignment="1"/>
    <xf numFmtId="178" fontId="8" fillId="0" borderId="19" xfId="2" applyNumberFormat="1" applyFont="1" applyBorder="1" applyAlignment="1">
      <alignment vertical="center"/>
    </xf>
    <xf numFmtId="0" fontId="11" fillId="0" borderId="28" xfId="0" applyFont="1" applyFill="1" applyBorder="1" applyAlignment="1">
      <alignment vertical="center"/>
    </xf>
    <xf numFmtId="9" fontId="11" fillId="0" borderId="28" xfId="0" applyNumberFormat="1" applyFont="1" applyBorder="1" applyAlignment="1">
      <alignment vertical="center"/>
    </xf>
    <xf numFmtId="0" fontId="11" fillId="0" borderId="29" xfId="0" applyFont="1" applyBorder="1" applyAlignment="1">
      <alignment vertical="center"/>
    </xf>
    <xf numFmtId="0" fontId="11" fillId="0" borderId="14" xfId="0" applyFont="1" applyFill="1" applyBorder="1" applyAlignment="1">
      <alignment vertical="center"/>
    </xf>
    <xf numFmtId="9" fontId="14" fillId="6" borderId="26" xfId="0" applyNumberFormat="1" applyFont="1" applyFill="1" applyBorder="1" applyAlignment="1">
      <alignment horizontal="left" vertical="center"/>
    </xf>
    <xf numFmtId="0" fontId="15" fillId="7" borderId="26" xfId="0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vertical="center"/>
    </xf>
    <xf numFmtId="178" fontId="11" fillId="0" borderId="31" xfId="2" applyNumberFormat="1" applyFont="1" applyFill="1" applyBorder="1" applyAlignment="1">
      <alignment vertical="center"/>
    </xf>
    <xf numFmtId="0" fontId="7" fillId="6" borderId="19" xfId="0" applyFont="1" applyFill="1" applyBorder="1" applyAlignment="1">
      <alignment horizontal="center" vertical="center"/>
    </xf>
    <xf numFmtId="0" fontId="11" fillId="0" borderId="17" xfId="0" applyFont="1" applyBorder="1" applyAlignment="1">
      <alignment vertical="center"/>
    </xf>
    <xf numFmtId="0" fontId="8" fillId="0" borderId="19" xfId="0" applyFont="1" applyFill="1" applyBorder="1" applyAlignment="1">
      <alignment vertical="center" wrapText="1"/>
    </xf>
    <xf numFmtId="10" fontId="11" fillId="0" borderId="0" xfId="1" applyNumberFormat="1" applyFont="1" applyAlignment="1">
      <alignment vertical="center" wrapText="1"/>
    </xf>
    <xf numFmtId="10" fontId="11" fillId="0" borderId="19" xfId="1" applyNumberFormat="1" applyFont="1" applyBorder="1" applyAlignment="1">
      <alignment vertical="center" wrapText="1"/>
    </xf>
    <xf numFmtId="0" fontId="16" fillId="0" borderId="32" xfId="0" applyFont="1" applyBorder="1" applyAlignment="1">
      <alignment horizontal="center" vertical="center"/>
    </xf>
    <xf numFmtId="38" fontId="17" fillId="0" borderId="33" xfId="0" applyNumberFormat="1" applyFont="1" applyBorder="1" applyAlignment="1">
      <alignment horizontal="center" vertical="center"/>
    </xf>
    <xf numFmtId="9" fontId="17" fillId="0" borderId="33" xfId="0" applyNumberFormat="1" applyFont="1" applyBorder="1" applyAlignment="1">
      <alignment horizontal="center" vertical="center"/>
    </xf>
    <xf numFmtId="178" fontId="17" fillId="0" borderId="33" xfId="2" applyNumberFormat="1" applyFont="1" applyBorder="1" applyAlignment="1">
      <alignment horizontal="center" vertical="center"/>
    </xf>
    <xf numFmtId="178" fontId="17" fillId="0" borderId="34" xfId="2" applyNumberFormat="1" applyFont="1" applyBorder="1" applyAlignment="1">
      <alignment horizontal="center" vertical="center"/>
    </xf>
    <xf numFmtId="0" fontId="8" fillId="0" borderId="35" xfId="0" applyFont="1" applyFill="1" applyBorder="1" applyAlignment="1"/>
    <xf numFmtId="0" fontId="8" fillId="0" borderId="36" xfId="0" applyFont="1" applyBorder="1" applyAlignment="1">
      <alignment wrapText="1"/>
    </xf>
    <xf numFmtId="0" fontId="12" fillId="0" borderId="35" xfId="0" applyFont="1" applyFill="1" applyBorder="1" applyAlignment="1"/>
    <xf numFmtId="0" fontId="6" fillId="0" borderId="35" xfId="0" applyFont="1" applyFill="1" applyBorder="1" applyAlignment="1"/>
    <xf numFmtId="0" fontId="11" fillId="0" borderId="36" xfId="0" applyFont="1" applyBorder="1" applyAlignment="1">
      <alignment vertical="center" wrapText="1"/>
    </xf>
    <xf numFmtId="0" fontId="8" fillId="0" borderId="35" xfId="3" applyFont="1" applyBorder="1"/>
    <xf numFmtId="0" fontId="8" fillId="0" borderId="37" xfId="0" applyFont="1" applyFill="1" applyBorder="1" applyAlignment="1"/>
    <xf numFmtId="0" fontId="11" fillId="0" borderId="38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10" fontId="11" fillId="0" borderId="38" xfId="1" applyNumberFormat="1" applyFont="1" applyBorder="1" applyAlignment="1">
      <alignment vertical="center" wrapText="1"/>
    </xf>
    <xf numFmtId="0" fontId="8" fillId="0" borderId="39" xfId="0" applyFont="1" applyBorder="1" applyAlignment="1">
      <alignment vertical="center" wrapText="1"/>
    </xf>
    <xf numFmtId="178" fontId="16" fillId="0" borderId="33" xfId="2" applyNumberFormat="1" applyFont="1" applyBorder="1" applyAlignment="1">
      <alignment horizontal="center" vertical="center"/>
    </xf>
    <xf numFmtId="0" fontId="11" fillId="0" borderId="35" xfId="0" applyFont="1" applyFill="1" applyBorder="1" applyAlignment="1">
      <alignment vertical="center"/>
    </xf>
    <xf numFmtId="0" fontId="11" fillId="0" borderId="37" xfId="0" applyFont="1" applyFill="1" applyBorder="1" applyAlignment="1">
      <alignment vertical="center"/>
    </xf>
    <xf numFmtId="9" fontId="11" fillId="0" borderId="38" xfId="0" applyNumberFormat="1" applyFont="1" applyBorder="1" applyAlignment="1">
      <alignment vertical="center"/>
    </xf>
    <xf numFmtId="0" fontId="8" fillId="0" borderId="36" xfId="0" applyFont="1" applyBorder="1" applyAlignment="1">
      <alignment vertical="center" wrapText="1"/>
    </xf>
    <xf numFmtId="0" fontId="11" fillId="0" borderId="39" xfId="0" applyFont="1" applyFill="1" applyBorder="1" applyAlignment="1">
      <alignment vertical="center" wrapText="1"/>
    </xf>
    <xf numFmtId="0" fontId="11" fillId="0" borderId="40" xfId="0" applyFont="1" applyBorder="1" applyAlignment="1">
      <alignment vertical="center"/>
    </xf>
    <xf numFmtId="9" fontId="8" fillId="0" borderId="36" xfId="3" applyNumberFormat="1" applyFont="1" applyBorder="1" applyAlignment="1">
      <alignment vertical="center" wrapText="1"/>
    </xf>
    <xf numFmtId="0" fontId="7" fillId="6" borderId="41" xfId="0" applyFont="1" applyFill="1" applyBorder="1" applyAlignment="1">
      <alignment horizontal="left" vertical="center"/>
    </xf>
    <xf numFmtId="10" fontId="8" fillId="9" borderId="19" xfId="0" applyNumberFormat="1" applyFont="1" applyFill="1" applyBorder="1" applyAlignment="1"/>
    <xf numFmtId="0" fontId="20" fillId="9" borderId="35" xfId="0" applyFont="1" applyFill="1" applyBorder="1" applyAlignment="1"/>
    <xf numFmtId="0" fontId="11" fillId="0" borderId="14" xfId="0" applyFont="1" applyBorder="1" applyAlignment="1">
      <alignment vertical="center"/>
    </xf>
    <xf numFmtId="178" fontId="11" fillId="0" borderId="19" xfId="2" applyNumberFormat="1" applyFont="1" applyBorder="1" applyAlignment="1">
      <alignment vertical="center"/>
    </xf>
    <xf numFmtId="178" fontId="11" fillId="0" borderId="38" xfId="2" applyNumberFormat="1" applyFont="1" applyBorder="1" applyAlignment="1">
      <alignment vertical="center"/>
    </xf>
    <xf numFmtId="9" fontId="11" fillId="0" borderId="0" xfId="0" applyNumberFormat="1" applyFont="1" applyAlignment="1">
      <alignment vertical="center" wrapText="1"/>
    </xf>
    <xf numFmtId="9" fontId="11" fillId="0" borderId="19" xfId="0" applyNumberFormat="1" applyFont="1" applyFill="1" applyBorder="1" applyAlignment="1">
      <alignment vertical="center"/>
    </xf>
    <xf numFmtId="178" fontId="8" fillId="0" borderId="19" xfId="0" applyNumberFormat="1" applyFont="1" applyBorder="1" applyAlignment="1">
      <alignment vertical="center"/>
    </xf>
    <xf numFmtId="178" fontId="8" fillId="0" borderId="38" xfId="0" applyNumberFormat="1" applyFont="1" applyBorder="1" applyAlignment="1">
      <alignment vertical="center"/>
    </xf>
    <xf numFmtId="1" fontId="11" fillId="0" borderId="0" xfId="0" applyNumberFormat="1" applyFont="1" applyFill="1" applyAlignment="1">
      <alignment vertical="center"/>
    </xf>
    <xf numFmtId="1" fontId="14" fillId="7" borderId="22" xfId="0" applyNumberFormat="1" applyFont="1" applyFill="1" applyBorder="1" applyAlignment="1">
      <alignment horizontal="center" vertical="center"/>
    </xf>
    <xf numFmtId="10" fontId="11" fillId="0" borderId="19" xfId="1" applyNumberFormat="1" applyFont="1" applyFill="1" applyBorder="1" applyAlignment="1">
      <alignment vertical="center" wrapText="1"/>
    </xf>
    <xf numFmtId="176" fontId="11" fillId="0" borderId="0" xfId="0" applyNumberFormat="1" applyFont="1" applyAlignment="1">
      <alignment vertical="center"/>
    </xf>
    <xf numFmtId="3" fontId="8" fillId="8" borderId="19" xfId="0" applyNumberFormat="1" applyFont="1" applyFill="1" applyBorder="1" applyAlignment="1"/>
    <xf numFmtId="9" fontId="11" fillId="8" borderId="0" xfId="0" applyNumberFormat="1" applyFont="1" applyFill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0" fontId="10" fillId="10" borderId="15" xfId="0" applyFont="1" applyFill="1" applyBorder="1" applyAlignment="1">
      <alignment vertical="center"/>
    </xf>
    <xf numFmtId="3" fontId="9" fillId="0" borderId="15" xfId="0" applyNumberFormat="1" applyFont="1" applyBorder="1" applyAlignment="1">
      <alignment vertical="center"/>
    </xf>
    <xf numFmtId="3" fontId="11" fillId="0" borderId="0" xfId="0" applyNumberFormat="1" applyFont="1" applyFill="1" applyAlignment="1">
      <alignment vertical="center"/>
    </xf>
    <xf numFmtId="176" fontId="11" fillId="8" borderId="0" xfId="0" applyNumberFormat="1" applyFont="1" applyFill="1" applyAlignment="1">
      <alignment vertical="center"/>
    </xf>
    <xf numFmtId="9" fontId="11" fillId="0" borderId="0" xfId="0" applyNumberFormat="1" applyFont="1" applyFill="1" applyAlignment="1">
      <alignment vertical="center" wrapText="1"/>
    </xf>
    <xf numFmtId="9" fontId="8" fillId="0" borderId="4" xfId="0" applyNumberFormat="1" applyFont="1" applyFill="1" applyBorder="1" applyAlignment="1">
      <alignment vertical="center" wrapText="1"/>
    </xf>
    <xf numFmtId="179" fontId="0" fillId="0" borderId="0" xfId="1" applyNumberFormat="1" applyFont="1" applyAlignment="1">
      <alignment vertical="center"/>
    </xf>
    <xf numFmtId="2" fontId="11" fillId="0" borderId="0" xfId="0" applyNumberFormat="1" applyFont="1" applyAlignment="1">
      <alignment vertical="center"/>
    </xf>
    <xf numFmtId="9" fontId="8" fillId="0" borderId="19" xfId="0" applyNumberFormat="1" applyFont="1" applyBorder="1" applyAlignment="1">
      <alignment horizontal="right"/>
    </xf>
    <xf numFmtId="0" fontId="10" fillId="11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176" fontId="0" fillId="0" borderId="0" xfId="1" applyNumberFormat="1" applyFont="1" applyAlignment="1">
      <alignment vertical="center"/>
    </xf>
    <xf numFmtId="10" fontId="0" fillId="8" borderId="0" xfId="0" applyNumberFormat="1" applyFill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1" applyNumberFormat="1" applyFont="1" applyAlignment="1">
      <alignment vertical="center"/>
    </xf>
    <xf numFmtId="14" fontId="0" fillId="0" borderId="0" xfId="0" applyNumberFormat="1" applyAlignment="1">
      <alignment vertical="center"/>
    </xf>
    <xf numFmtId="180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9" fillId="0" borderId="0" xfId="0" applyFont="1" applyAlignment="1">
      <alignment vertical="center"/>
    </xf>
    <xf numFmtId="0" fontId="22" fillId="0" borderId="15" xfId="0" applyFont="1" applyBorder="1" applyAlignment="1">
      <alignment vertical="center"/>
    </xf>
    <xf numFmtId="1" fontId="22" fillId="0" borderId="15" xfId="0" applyNumberFormat="1" applyFont="1" applyBorder="1" applyAlignment="1">
      <alignment vertical="center"/>
    </xf>
    <xf numFmtId="0" fontId="0" fillId="12" borderId="0" xfId="0" applyFill="1" applyAlignment="1">
      <alignment vertical="center"/>
    </xf>
    <xf numFmtId="10" fontId="0" fillId="12" borderId="0" xfId="0" applyNumberFormat="1" applyFill="1" applyAlignment="1">
      <alignment vertical="center"/>
    </xf>
    <xf numFmtId="9" fontId="0" fillId="12" borderId="0" xfId="0" applyNumberFormat="1" applyFill="1" applyAlignment="1">
      <alignment vertical="center"/>
    </xf>
    <xf numFmtId="14" fontId="0" fillId="12" borderId="0" xfId="0" applyNumberFormat="1" applyFill="1" applyAlignment="1">
      <alignment vertical="center"/>
    </xf>
    <xf numFmtId="1" fontId="0" fillId="12" borderId="0" xfId="0" applyNumberFormat="1" applyFill="1" applyAlignment="1">
      <alignment vertical="center"/>
    </xf>
    <xf numFmtId="180" fontId="0" fillId="12" borderId="0" xfId="0" applyNumberFormat="1" applyFill="1" applyAlignment="1">
      <alignment vertical="center"/>
    </xf>
    <xf numFmtId="179" fontId="0" fillId="12" borderId="0" xfId="0" applyNumberFormat="1" applyFill="1" applyAlignment="1">
      <alignment vertical="center"/>
    </xf>
    <xf numFmtId="176" fontId="0" fillId="12" borderId="0" xfId="1" applyNumberFormat="1" applyFont="1" applyFill="1" applyAlignment="1">
      <alignment vertical="center"/>
    </xf>
    <xf numFmtId="10" fontId="0" fillId="12" borderId="0" xfId="1" applyNumberFormat="1" applyFont="1" applyFill="1" applyAlignment="1">
      <alignment vertical="center"/>
    </xf>
    <xf numFmtId="0" fontId="22" fillId="12" borderId="15" xfId="0" applyFont="1" applyFill="1" applyBorder="1" applyAlignment="1">
      <alignment vertical="center"/>
    </xf>
    <xf numFmtId="176" fontId="0" fillId="12" borderId="0" xfId="0" applyNumberFormat="1" applyFill="1" applyAlignment="1">
      <alignment vertical="center"/>
    </xf>
    <xf numFmtId="0" fontId="0" fillId="12" borderId="0" xfId="0" applyFill="1" applyAlignment="1">
      <alignment horizontal="center" vertical="center"/>
    </xf>
    <xf numFmtId="14" fontId="0" fillId="12" borderId="0" xfId="0" applyNumberFormat="1" applyFill="1" applyAlignment="1">
      <alignment horizontal="center" vertical="center"/>
    </xf>
    <xf numFmtId="1" fontId="0" fillId="12" borderId="0" xfId="0" applyNumberFormat="1" applyFill="1" applyAlignment="1">
      <alignment horizontal="center" vertical="center"/>
    </xf>
    <xf numFmtId="2" fontId="0" fillId="12" borderId="0" xfId="0" applyNumberFormat="1" applyFill="1" applyAlignment="1">
      <alignment horizontal="center" vertical="center"/>
    </xf>
    <xf numFmtId="1" fontId="22" fillId="12" borderId="15" xfId="0" applyNumberFormat="1" applyFont="1" applyFill="1" applyBorder="1" applyAlignment="1">
      <alignment horizontal="center" vertical="center"/>
    </xf>
    <xf numFmtId="179" fontId="0" fillId="12" borderId="0" xfId="0" applyNumberFormat="1" applyFill="1" applyAlignment="1">
      <alignment horizontal="center" vertical="center"/>
    </xf>
    <xf numFmtId="2" fontId="11" fillId="12" borderId="0" xfId="0" applyNumberFormat="1" applyFont="1" applyFill="1" applyAlignment="1">
      <alignment horizontal="center" vertical="center"/>
    </xf>
    <xf numFmtId="0" fontId="0" fillId="12" borderId="0" xfId="0" applyNumberFormat="1" applyFill="1" applyAlignment="1">
      <alignment vertical="center"/>
    </xf>
    <xf numFmtId="0" fontId="9" fillId="12" borderId="0" xfId="0" applyFont="1" applyFill="1" applyAlignment="1">
      <alignment vertical="center"/>
    </xf>
    <xf numFmtId="176" fontId="0" fillId="12" borderId="0" xfId="1" applyNumberFormat="1" applyFont="1" applyFill="1" applyAlignment="1">
      <alignment horizontal="center" vertical="center"/>
    </xf>
    <xf numFmtId="180" fontId="0" fillId="12" borderId="0" xfId="0" applyNumberFormat="1" applyFill="1" applyAlignment="1">
      <alignment horizontal="center" vertical="center"/>
    </xf>
    <xf numFmtId="1" fontId="22" fillId="12" borderId="14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5">
    <cellStyle name="百分比" xfId="1" builtinId="5"/>
    <cellStyle name="常规" xfId="0" builtinId="0"/>
    <cellStyle name="常规 2" xfId="3" xr:uid="{24823EB1-4584-4511-8C55-DBB13D75C552}"/>
    <cellStyle name="常规 3" xfId="4" xr:uid="{9BBC67CC-B325-4BAB-A8E4-0CCA0A31985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9</xdr:row>
      <xdr:rowOff>95250</xdr:rowOff>
    </xdr:from>
    <xdr:to>
      <xdr:col>2</xdr:col>
      <xdr:colOff>1933575</xdr:colOff>
      <xdr:row>9</xdr:row>
      <xdr:rowOff>3048000</xdr:rowOff>
    </xdr:to>
    <xdr:pic>
      <xdr:nvPicPr>
        <xdr:cNvPr id="2" name="Picture 2" descr="CeJuJq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342900</xdr:colOff>
      <xdr:row>9</xdr:row>
      <xdr:rowOff>38100</xdr:rowOff>
    </xdr:from>
    <xdr:to>
      <xdr:col>6</xdr:col>
      <xdr:colOff>390525</xdr:colOff>
      <xdr:row>9</xdr:row>
      <xdr:rowOff>3028950</xdr:rowOff>
    </xdr:to>
    <xdr:pic>
      <xdr:nvPicPr>
        <xdr:cNvPr id="3" name="Picture 3" descr="fcWxvy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</xdr:col>
      <xdr:colOff>0</xdr:colOff>
      <xdr:row>10</xdr:row>
      <xdr:rowOff>0</xdr:rowOff>
    </xdr:from>
    <xdr:to>
      <xdr:col>4</xdr:col>
      <xdr:colOff>1905000</xdr:colOff>
      <xdr:row>10</xdr:row>
      <xdr:rowOff>2781300</xdr:rowOff>
    </xdr:to>
    <xdr:pic>
      <xdr:nvPicPr>
        <xdr:cNvPr id="4" name="Picture 4" descr="glgyt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077E-A468-43BD-A3EA-42BFDB44BE56}">
  <sheetPr>
    <outlinePr summaryBelow="0" summaryRight="0"/>
  </sheetPr>
  <dimension ref="A1:L20"/>
  <sheetViews>
    <sheetView zoomScale="85" zoomScaleNormal="85" workbookViewId="0">
      <pane xSplit="1" ySplit="1" topLeftCell="I2" activePane="bottomRight" state="frozen"/>
      <selection pane="topRight"/>
      <selection pane="bottomLeft"/>
      <selection pane="bottomRight" activeCell="J8" sqref="J7:L8"/>
    </sheetView>
  </sheetViews>
  <sheetFormatPr defaultColWidth="14" defaultRowHeight="13" x14ac:dyDescent="0.3"/>
  <cols>
    <col min="1" max="1" width="52" customWidth="1"/>
    <col min="2" max="3" width="32" customWidth="1"/>
    <col min="4" max="4" width="16" customWidth="1"/>
    <col min="5" max="5" width="54" customWidth="1"/>
    <col min="6" max="7" width="16" customWidth="1"/>
    <col min="8" max="8" width="29" customWidth="1"/>
    <col min="9" max="9" width="16" customWidth="1"/>
    <col min="10" max="10" width="68" customWidth="1"/>
    <col min="11" max="11" width="23" customWidth="1"/>
    <col min="12" max="12" width="126" customWidth="1"/>
    <col min="13" max="20" width="16" customWidth="1"/>
  </cols>
  <sheetData>
    <row r="1" spans="1:12" ht="23" customHeight="1" x14ac:dyDescent="0.3">
      <c r="A1" s="10" t="s">
        <v>1</v>
      </c>
      <c r="B1" s="10" t="s">
        <v>2</v>
      </c>
      <c r="C1" s="10" t="s">
        <v>3</v>
      </c>
      <c r="D1" s="12" t="s">
        <v>4</v>
      </c>
      <c r="E1" s="10" t="s">
        <v>5</v>
      </c>
      <c r="F1" s="10" t="s">
        <v>6</v>
      </c>
      <c r="G1" s="11" t="s">
        <v>7</v>
      </c>
      <c r="H1" s="9" t="s">
        <v>8</v>
      </c>
      <c r="I1" s="10" t="s">
        <v>9</v>
      </c>
      <c r="J1" s="9" t="s">
        <v>10</v>
      </c>
      <c r="K1" s="9" t="s">
        <v>11</v>
      </c>
      <c r="L1" s="10" t="s">
        <v>12</v>
      </c>
    </row>
    <row r="2" spans="1:12" ht="23" customHeight="1" x14ac:dyDescent="0.3">
      <c r="A2" s="1" t="s">
        <v>13</v>
      </c>
      <c r="B2" s="2" t="s">
        <v>14</v>
      </c>
      <c r="C2" s="2" t="s">
        <v>15</v>
      </c>
      <c r="D2" s="4" t="s">
        <v>16</v>
      </c>
      <c r="E2" s="2" t="s">
        <v>17</v>
      </c>
      <c r="F2" s="5">
        <v>0.65</v>
      </c>
      <c r="G2" s="3" t="s">
        <v>18</v>
      </c>
      <c r="H2" s="6" t="s">
        <v>19</v>
      </c>
      <c r="I2" s="2"/>
      <c r="J2" s="1" t="s">
        <v>20</v>
      </c>
      <c r="K2" s="1" t="s">
        <v>21</v>
      </c>
      <c r="L2" s="1" t="s">
        <v>62</v>
      </c>
    </row>
    <row r="3" spans="1:12" ht="23" customHeight="1" x14ac:dyDescent="0.3">
      <c r="A3" s="1" t="s">
        <v>22</v>
      </c>
      <c r="B3" s="2" t="s">
        <v>23</v>
      </c>
      <c r="C3" s="2" t="s">
        <v>15</v>
      </c>
      <c r="D3" s="4" t="s">
        <v>16</v>
      </c>
      <c r="E3" s="2" t="s">
        <v>17</v>
      </c>
      <c r="F3" s="5">
        <v>0.15</v>
      </c>
      <c r="G3" s="3" t="s">
        <v>18</v>
      </c>
      <c r="H3" s="6" t="s">
        <v>19</v>
      </c>
      <c r="I3" s="2"/>
      <c r="J3" s="1" t="s">
        <v>20</v>
      </c>
      <c r="K3" s="13" t="s">
        <v>24</v>
      </c>
      <c r="L3" s="2"/>
    </row>
    <row r="4" spans="1:12" ht="38" customHeight="1" x14ac:dyDescent="0.3">
      <c r="A4" s="1" t="s">
        <v>25</v>
      </c>
      <c r="B4" s="2" t="s">
        <v>26</v>
      </c>
      <c r="C4" s="1" t="s">
        <v>27</v>
      </c>
      <c r="D4" s="4" t="s">
        <v>16</v>
      </c>
      <c r="E4" s="2" t="s">
        <v>17</v>
      </c>
      <c r="F4" s="5">
        <v>0.03</v>
      </c>
      <c r="G4" s="3" t="s">
        <v>18</v>
      </c>
      <c r="H4" s="6" t="s">
        <v>19</v>
      </c>
      <c r="I4" s="2"/>
      <c r="J4" s="1" t="s">
        <v>20</v>
      </c>
      <c r="K4" s="13" t="s">
        <v>24</v>
      </c>
      <c r="L4" s="2"/>
    </row>
    <row r="5" spans="1:12" ht="23" customHeight="1" x14ac:dyDescent="0.3">
      <c r="A5" s="2" t="s">
        <v>28</v>
      </c>
      <c r="B5" s="2" t="s">
        <v>29</v>
      </c>
      <c r="C5" s="2" t="s">
        <v>30</v>
      </c>
      <c r="D5" s="4" t="s">
        <v>31</v>
      </c>
      <c r="E5" s="2" t="s">
        <v>32</v>
      </c>
      <c r="F5" s="5">
        <v>0.1</v>
      </c>
      <c r="G5" s="3" t="s">
        <v>18</v>
      </c>
      <c r="H5" s="7" t="s">
        <v>33</v>
      </c>
      <c r="I5" s="2"/>
      <c r="J5" s="1" t="s">
        <v>34</v>
      </c>
      <c r="K5" s="13" t="s">
        <v>24</v>
      </c>
      <c r="L5" s="2"/>
    </row>
    <row r="6" spans="1:12" ht="23" customHeight="1" x14ac:dyDescent="0.3">
      <c r="A6" s="1" t="s">
        <v>35</v>
      </c>
      <c r="B6" s="2" t="s">
        <v>36</v>
      </c>
      <c r="C6" s="2" t="s">
        <v>37</v>
      </c>
      <c r="D6" s="4" t="s">
        <v>31</v>
      </c>
      <c r="E6" s="2" t="s">
        <v>32</v>
      </c>
      <c r="F6" s="5">
        <v>0.02</v>
      </c>
      <c r="G6" s="3" t="s">
        <v>18</v>
      </c>
      <c r="H6" s="7" t="s">
        <v>33</v>
      </c>
      <c r="I6" s="7" t="s">
        <v>18</v>
      </c>
      <c r="J6" s="7" t="s">
        <v>18</v>
      </c>
      <c r="K6" s="1" t="s">
        <v>38</v>
      </c>
      <c r="L6" s="2"/>
    </row>
    <row r="7" spans="1:12" ht="23" customHeight="1" x14ac:dyDescent="0.3">
      <c r="A7" s="2" t="s">
        <v>39</v>
      </c>
      <c r="B7" s="2" t="s">
        <v>29</v>
      </c>
      <c r="C7" s="2" t="s">
        <v>40</v>
      </c>
      <c r="D7" s="4" t="s">
        <v>41</v>
      </c>
      <c r="E7" s="2" t="s">
        <v>17</v>
      </c>
      <c r="F7" s="5">
        <v>0.05</v>
      </c>
      <c r="G7" s="3" t="s">
        <v>18</v>
      </c>
      <c r="H7" s="7" t="s">
        <v>33</v>
      </c>
      <c r="I7" s="2"/>
      <c r="J7" s="2" t="s">
        <v>42</v>
      </c>
      <c r="K7" s="13" t="s">
        <v>24</v>
      </c>
      <c r="L7" s="2"/>
    </row>
    <row r="8" spans="1:12" ht="23" customHeight="1" x14ac:dyDescent="0.3">
      <c r="A8" s="2"/>
      <c r="B8" s="2"/>
      <c r="C8" s="2"/>
      <c r="D8" s="4"/>
      <c r="G8" s="4"/>
    </row>
    <row r="9" spans="1:12" ht="23" customHeight="1" x14ac:dyDescent="0.3">
      <c r="D9" s="4"/>
      <c r="G9" s="4"/>
    </row>
    <row r="10" spans="1:12" ht="284" customHeight="1" x14ac:dyDescent="0.3">
      <c r="D10" s="4"/>
      <c r="G10" s="4"/>
      <c r="H10" s="2" t="s">
        <v>0</v>
      </c>
    </row>
    <row r="11" spans="1:12" ht="240" customHeight="1" x14ac:dyDescent="0.3">
      <c r="D11" s="4"/>
      <c r="G11" s="4"/>
    </row>
    <row r="12" spans="1:12" ht="23" customHeight="1" x14ac:dyDescent="0.3">
      <c r="D12" s="4"/>
      <c r="G12" s="4"/>
    </row>
    <row r="13" spans="1:12" ht="23" customHeight="1" x14ac:dyDescent="0.3">
      <c r="A13" s="2" t="s">
        <v>43</v>
      </c>
      <c r="B13" s="2" t="s">
        <v>44</v>
      </c>
      <c r="C13" s="2" t="s">
        <v>45</v>
      </c>
      <c r="D13" s="4" t="s">
        <v>46</v>
      </c>
      <c r="G13" s="4"/>
    </row>
    <row r="14" spans="1:12" ht="23" customHeight="1" x14ac:dyDescent="0.3">
      <c r="A14" s="2" t="s">
        <v>47</v>
      </c>
      <c r="B14" s="8">
        <f>500000000*95%</f>
        <v>475000000</v>
      </c>
      <c r="C14" s="2">
        <f>B14*4.5%</f>
        <v>21375000</v>
      </c>
      <c r="D14" s="180" t="s">
        <v>48</v>
      </c>
      <c r="E14" s="180"/>
      <c r="G14" s="4"/>
    </row>
    <row r="15" spans="1:12" ht="23" customHeight="1" x14ac:dyDescent="0.3">
      <c r="A15" s="2" t="s">
        <v>49</v>
      </c>
      <c r="B15" s="8">
        <f>500000000*5%</f>
        <v>25000000</v>
      </c>
      <c r="C15" s="2">
        <v>3000000</v>
      </c>
      <c r="D15" s="180" t="s">
        <v>50</v>
      </c>
      <c r="E15" s="180"/>
      <c r="G15" s="4"/>
    </row>
    <row r="16" spans="1:12" ht="23" customHeight="1" x14ac:dyDescent="0.3">
      <c r="D16" s="4"/>
      <c r="G16" s="4"/>
    </row>
    <row r="17" spans="4:7" ht="23" customHeight="1" x14ac:dyDescent="0.3">
      <c r="D17" s="4"/>
      <c r="G17" s="4"/>
    </row>
    <row r="18" spans="4:7" ht="23" customHeight="1" x14ac:dyDescent="0.3">
      <c r="D18" s="4"/>
      <c r="G18" s="4"/>
    </row>
    <row r="19" spans="4:7" ht="23" customHeight="1" x14ac:dyDescent="0.3">
      <c r="D19" s="4"/>
      <c r="G19" s="4"/>
    </row>
    <row r="20" spans="4:7" ht="23" customHeight="1" x14ac:dyDescent="0.3">
      <c r="D20" s="4"/>
      <c r="G20" s="4"/>
    </row>
  </sheetData>
  <mergeCells count="2">
    <mergeCell ref="D14:E14"/>
    <mergeCell ref="D15:E15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A0EF-37DB-4006-BAA5-477100A749AE}">
  <sheetPr>
    <outlinePr summaryBelow="0" summaryRight="0"/>
  </sheetPr>
  <dimension ref="A1:G67"/>
  <sheetViews>
    <sheetView zoomScaleNormal="100" workbookViewId="0">
      <selection activeCell="D20" sqref="D20"/>
    </sheetView>
  </sheetViews>
  <sheetFormatPr defaultColWidth="14" defaultRowHeight="11.5" x14ac:dyDescent="0.3"/>
  <cols>
    <col min="1" max="1" width="27" style="22" customWidth="1"/>
    <col min="2" max="2" width="14.54296875" style="20" customWidth="1"/>
    <col min="3" max="3" width="27.1796875" style="20" bestFit="1" customWidth="1"/>
    <col min="4" max="4" width="26" style="20" customWidth="1"/>
    <col min="5" max="5" width="43.54296875" style="16" customWidth="1"/>
    <col min="6" max="6" width="56" style="20" bestFit="1" customWidth="1"/>
    <col min="7" max="7" width="17.453125" style="20" customWidth="1"/>
    <col min="8" max="17" width="12" style="20" customWidth="1"/>
    <col min="18" max="18" width="17" style="20" customWidth="1"/>
    <col min="19" max="16384" width="14" style="20"/>
  </cols>
  <sheetData>
    <row r="1" spans="1:6" ht="21" customHeight="1" x14ac:dyDescent="0.3">
      <c r="A1" s="22" t="s">
        <v>120</v>
      </c>
      <c r="B1" s="27">
        <v>0.95</v>
      </c>
    </row>
    <row r="2" spans="1:6" ht="21" customHeight="1" x14ac:dyDescent="0.3">
      <c r="A2" s="22" t="s">
        <v>121</v>
      </c>
      <c r="B2" s="27">
        <v>0.05</v>
      </c>
    </row>
    <row r="3" spans="1:6" ht="21" customHeight="1" thickBot="1" x14ac:dyDescent="0.35">
      <c r="A3" s="22" t="s">
        <v>110</v>
      </c>
      <c r="B3" s="74">
        <v>6.4000000000000001E-2</v>
      </c>
      <c r="D3" s="128"/>
      <c r="E3" s="121"/>
    </row>
    <row r="4" spans="1:6" ht="21" customHeight="1" x14ac:dyDescent="0.3">
      <c r="A4" s="91" t="s">
        <v>72</v>
      </c>
      <c r="B4" s="92" t="s">
        <v>51</v>
      </c>
      <c r="C4" s="93" t="s">
        <v>52</v>
      </c>
      <c r="D4" s="94" t="s">
        <v>53</v>
      </c>
      <c r="E4" s="94" t="s">
        <v>117</v>
      </c>
      <c r="F4" s="95" t="s">
        <v>46</v>
      </c>
    </row>
    <row r="5" spans="1:6" ht="21" customHeight="1" x14ac:dyDescent="0.25">
      <c r="A5" s="96" t="s">
        <v>54</v>
      </c>
      <c r="B5" s="75">
        <f>B16*B1</f>
        <v>427500000</v>
      </c>
      <c r="C5" s="29">
        <f>B3*85%*5%+B3*95%</f>
        <v>6.3519999999999993E-2</v>
      </c>
      <c r="D5" s="30">
        <f>B5*C5</f>
        <v>27154799.999999996</v>
      </c>
      <c r="E5" s="90">
        <f>D5/$B$16</f>
        <v>6.0343999999999995E-2</v>
      </c>
      <c r="F5" s="97" t="s">
        <v>115</v>
      </c>
    </row>
    <row r="6" spans="1:6" ht="21" customHeight="1" x14ac:dyDescent="0.25">
      <c r="A6" s="98" t="s">
        <v>112</v>
      </c>
      <c r="B6" s="75">
        <f>(B16-B5)*10%</f>
        <v>2250000</v>
      </c>
      <c r="C6" s="29">
        <v>0.05</v>
      </c>
      <c r="D6" s="30">
        <f>B6*C6</f>
        <v>112500</v>
      </c>
      <c r="E6" s="90">
        <f t="shared" ref="E6:E18" si="0">D6/$B$16</f>
        <v>2.5000000000000001E-4</v>
      </c>
      <c r="F6" s="97" t="s">
        <v>116</v>
      </c>
    </row>
    <row r="7" spans="1:6" ht="21" customHeight="1" x14ac:dyDescent="0.25">
      <c r="A7" s="98" t="s">
        <v>111</v>
      </c>
      <c r="B7" s="76">
        <f>(B16-B5)*90%</f>
        <v>20250000</v>
      </c>
      <c r="C7" s="31">
        <v>0.12</v>
      </c>
      <c r="D7" s="30">
        <f>B7*C7</f>
        <v>2430000</v>
      </c>
      <c r="E7" s="90">
        <f t="shared" si="0"/>
        <v>5.4000000000000003E-3</v>
      </c>
      <c r="F7" s="97" t="s">
        <v>116</v>
      </c>
    </row>
    <row r="8" spans="1:6" ht="21" customHeight="1" x14ac:dyDescent="0.25">
      <c r="A8" s="99" t="s">
        <v>55</v>
      </c>
      <c r="B8" s="32"/>
      <c r="C8" s="32"/>
      <c r="D8" s="30">
        <v>100000</v>
      </c>
      <c r="E8" s="90">
        <f t="shared" si="0"/>
        <v>2.2222222222222223E-4</v>
      </c>
      <c r="F8" s="100"/>
    </row>
    <row r="9" spans="1:6" ht="21" customHeight="1" x14ac:dyDescent="0.25">
      <c r="A9" s="96" t="s">
        <v>77</v>
      </c>
      <c r="B9" s="32"/>
      <c r="C9" s="32"/>
      <c r="D9" s="129"/>
      <c r="E9" s="90">
        <f t="shared" si="0"/>
        <v>0</v>
      </c>
      <c r="F9" s="100"/>
    </row>
    <row r="10" spans="1:6" ht="21" customHeight="1" x14ac:dyDescent="0.25">
      <c r="A10" s="99" t="s">
        <v>56</v>
      </c>
      <c r="B10" s="32"/>
      <c r="C10" s="32"/>
      <c r="D10" s="30">
        <f>1800000*1.44%*300*10%</f>
        <v>777600</v>
      </c>
      <c r="E10" s="90">
        <f t="shared" si="0"/>
        <v>1.7279999999999999E-3</v>
      </c>
      <c r="F10" s="97" t="s">
        <v>57</v>
      </c>
    </row>
    <row r="11" spans="1:6" ht="36" customHeight="1" x14ac:dyDescent="0.25">
      <c r="A11" s="101" t="s">
        <v>68</v>
      </c>
      <c r="B11" s="33"/>
      <c r="C11" s="33"/>
      <c r="D11" s="34">
        <f>69091*1.5*15%*350*(10%-4.5%)</f>
        <v>299250.39374999999</v>
      </c>
      <c r="E11" s="90">
        <f t="shared" si="0"/>
        <v>6.6500087499999998E-4</v>
      </c>
      <c r="F11" s="114" t="s">
        <v>69</v>
      </c>
    </row>
    <row r="12" spans="1:6" ht="25.75" customHeight="1" thickBot="1" x14ac:dyDescent="0.3">
      <c r="A12" s="102" t="s">
        <v>59</v>
      </c>
      <c r="B12" s="103"/>
      <c r="C12" s="103"/>
      <c r="D12" s="104">
        <v>0</v>
      </c>
      <c r="E12" s="105">
        <f t="shared" si="0"/>
        <v>0</v>
      </c>
      <c r="F12" s="106" t="s">
        <v>60</v>
      </c>
    </row>
    <row r="13" spans="1:6" ht="21" customHeight="1" thickBot="1" x14ac:dyDescent="0.35">
      <c r="B13" s="22"/>
      <c r="C13" s="22"/>
      <c r="D13" s="22"/>
      <c r="E13" s="89"/>
    </row>
    <row r="14" spans="1:6" ht="21" customHeight="1" x14ac:dyDescent="0.3">
      <c r="A14" s="91" t="s">
        <v>73</v>
      </c>
      <c r="B14" s="92" t="s">
        <v>51</v>
      </c>
      <c r="C14" s="93" t="s">
        <v>52</v>
      </c>
      <c r="D14" s="107" t="s">
        <v>74</v>
      </c>
      <c r="E14" s="94" t="s">
        <v>117</v>
      </c>
      <c r="F14" s="95" t="s">
        <v>46</v>
      </c>
    </row>
    <row r="15" spans="1:6" ht="21" customHeight="1" x14ac:dyDescent="0.25">
      <c r="A15" s="99" t="s">
        <v>67</v>
      </c>
      <c r="B15" s="32"/>
      <c r="C15" s="32"/>
      <c r="D15" s="75">
        <f>-1800000*0.8</f>
        <v>-1440000</v>
      </c>
      <c r="E15" s="90">
        <f t="shared" si="0"/>
        <v>-3.2000000000000002E-3</v>
      </c>
      <c r="F15" s="111" t="s">
        <v>58</v>
      </c>
    </row>
    <row r="16" spans="1:6" ht="21" customHeight="1" x14ac:dyDescent="0.25">
      <c r="A16" s="117" t="s">
        <v>63</v>
      </c>
      <c r="B16" s="28">
        <v>450000000</v>
      </c>
      <c r="C16" s="116">
        <f>-6.75%/2</f>
        <v>-3.3750000000000002E-2</v>
      </c>
      <c r="D16" s="75">
        <f>B16*C16</f>
        <v>-15187500.000000002</v>
      </c>
      <c r="E16" s="90">
        <f t="shared" si="0"/>
        <v>-3.3750000000000002E-2</v>
      </c>
      <c r="F16" s="111" t="s">
        <v>143</v>
      </c>
    </row>
    <row r="17" spans="1:7" s="22" customFormat="1" ht="21" customHeight="1" x14ac:dyDescent="0.3">
      <c r="A17" s="108" t="s">
        <v>70</v>
      </c>
      <c r="B17" s="123">
        <f>B7</f>
        <v>20250000</v>
      </c>
      <c r="C17" s="39">
        <v>-1.2E-2</v>
      </c>
      <c r="D17" s="119">
        <f>B17*C17</f>
        <v>-243000</v>
      </c>
      <c r="E17" s="90">
        <f t="shared" si="0"/>
        <v>-5.4000000000000001E-4</v>
      </c>
      <c r="F17" s="100"/>
    </row>
    <row r="18" spans="1:7" s="22" customFormat="1" ht="21" customHeight="1" thickBot="1" x14ac:dyDescent="0.35">
      <c r="A18" s="109" t="s">
        <v>71</v>
      </c>
      <c r="B18" s="124">
        <f>B7</f>
        <v>20250000</v>
      </c>
      <c r="C18" s="110">
        <v>-0.03</v>
      </c>
      <c r="D18" s="120">
        <f>B18*C18</f>
        <v>-607500</v>
      </c>
      <c r="E18" s="105">
        <f t="shared" si="0"/>
        <v>-1.3500000000000001E-3</v>
      </c>
      <c r="F18" s="112"/>
    </row>
    <row r="19" spans="1:7" s="22" customFormat="1" ht="21" customHeight="1" thickBot="1" x14ac:dyDescent="0.35">
      <c r="A19" s="36"/>
      <c r="B19" s="37"/>
      <c r="C19" s="37"/>
      <c r="D19" s="37"/>
      <c r="F19" s="18"/>
    </row>
    <row r="20" spans="1:7" s="22" customFormat="1" ht="21" customHeight="1" thickBot="1" x14ac:dyDescent="0.35">
      <c r="A20" s="40" t="s">
        <v>75</v>
      </c>
      <c r="B20" s="41"/>
      <c r="C20" s="41"/>
      <c r="D20" s="42">
        <f>SUM(D5:D18)/B16</f>
        <v>2.976922309722221E-2</v>
      </c>
      <c r="F20" s="17"/>
    </row>
    <row r="21" spans="1:7" s="22" customFormat="1" ht="21" customHeight="1" x14ac:dyDescent="0.3">
      <c r="A21" s="35"/>
      <c r="B21" s="23"/>
      <c r="C21" s="24"/>
      <c r="D21" s="23"/>
      <c r="E21" s="17"/>
    </row>
    <row r="22" spans="1:7" s="22" customFormat="1" ht="21" customHeight="1" x14ac:dyDescent="0.3">
      <c r="A22" s="35"/>
      <c r="B22" s="23"/>
      <c r="C22" s="24"/>
      <c r="D22" s="23"/>
      <c r="E22" s="17"/>
    </row>
    <row r="23" spans="1:7" s="22" customFormat="1" ht="21" customHeight="1" x14ac:dyDescent="0.3">
      <c r="A23" s="35"/>
      <c r="B23" s="62"/>
      <c r="C23" s="23"/>
      <c r="D23" s="23"/>
      <c r="E23" s="19"/>
    </row>
    <row r="24" spans="1:7" s="22" customFormat="1" ht="21" customHeight="1" x14ac:dyDescent="0.3">
      <c r="A24" s="60" t="s">
        <v>78</v>
      </c>
      <c r="B24" s="32"/>
      <c r="C24" s="61"/>
      <c r="D24" s="23"/>
      <c r="E24" s="19"/>
    </row>
    <row r="25" spans="1:7" s="22" customFormat="1" ht="21" customHeight="1" x14ac:dyDescent="0.3">
      <c r="A25" s="38" t="s">
        <v>96</v>
      </c>
      <c r="B25" s="63">
        <f>1800000*25%</f>
        <v>450000</v>
      </c>
      <c r="C25" s="61"/>
      <c r="D25" s="23"/>
      <c r="E25" s="19"/>
    </row>
    <row r="26" spans="1:7" s="22" customFormat="1" ht="21" customHeight="1" x14ac:dyDescent="0.3">
      <c r="A26" s="38" t="s">
        <v>79</v>
      </c>
      <c r="B26" s="64">
        <v>0.4</v>
      </c>
      <c r="C26" s="61" t="s">
        <v>114</v>
      </c>
      <c r="D26" s="113"/>
      <c r="E26" s="88" t="s">
        <v>118</v>
      </c>
    </row>
    <row r="27" spans="1:7" s="22" customFormat="1" ht="21" customHeight="1" x14ac:dyDescent="0.3">
      <c r="A27" s="38" t="s">
        <v>97</v>
      </c>
      <c r="B27" s="122">
        <v>0.3</v>
      </c>
      <c r="C27" s="48" t="s">
        <v>113</v>
      </c>
      <c r="D27" s="32" t="s">
        <v>95</v>
      </c>
      <c r="E27" s="88">
        <v>30</v>
      </c>
    </row>
    <row r="28" spans="1:7" s="22" customFormat="1" ht="21" customHeight="1" x14ac:dyDescent="0.3">
      <c r="A28" s="38" t="s">
        <v>98</v>
      </c>
      <c r="B28" s="32">
        <f>B25*B26*B27</f>
        <v>54000</v>
      </c>
      <c r="C28" s="48"/>
      <c r="D28" s="32" t="s">
        <v>99</v>
      </c>
      <c r="E28" s="88">
        <v>10</v>
      </c>
    </row>
    <row r="29" spans="1:7" s="22" customFormat="1" ht="21" customHeight="1" x14ac:dyDescent="0.3">
      <c r="A29" s="77" t="s">
        <v>94</v>
      </c>
      <c r="B29" s="78">
        <v>0.85</v>
      </c>
      <c r="C29" s="79" t="s">
        <v>114</v>
      </c>
      <c r="D29" s="87"/>
      <c r="E29" s="49"/>
      <c r="F29" s="80"/>
      <c r="G29" s="80"/>
    </row>
    <row r="30" spans="1:7" s="22" customFormat="1" ht="21" customHeight="1" x14ac:dyDescent="0.3">
      <c r="A30" s="77"/>
      <c r="B30" s="78"/>
      <c r="C30" s="118"/>
      <c r="D30" s="118"/>
      <c r="E30" s="49"/>
      <c r="F30" s="80"/>
      <c r="G30" s="80"/>
    </row>
    <row r="31" spans="1:7" s="22" customFormat="1" ht="21" customHeight="1" x14ac:dyDescent="0.3">
      <c r="A31" s="86" t="s">
        <v>80</v>
      </c>
      <c r="B31" s="86" t="s">
        <v>81</v>
      </c>
      <c r="C31" s="86" t="s">
        <v>82</v>
      </c>
      <c r="D31" s="86" t="s">
        <v>85</v>
      </c>
      <c r="E31" s="86" t="s">
        <v>84</v>
      </c>
      <c r="F31" s="38" t="s">
        <v>100</v>
      </c>
      <c r="G31" s="38" t="s">
        <v>91</v>
      </c>
    </row>
    <row r="32" spans="1:7" s="22" customFormat="1" ht="21" customHeight="1" x14ac:dyDescent="0.3">
      <c r="A32" s="53" t="s">
        <v>93</v>
      </c>
      <c r="B32" s="81">
        <v>0.23</v>
      </c>
      <c r="C32" s="54" t="s">
        <v>95</v>
      </c>
      <c r="D32" s="82">
        <f>$B$28*B32*$B$29</f>
        <v>10557</v>
      </c>
      <c r="E32" s="83">
        <v>80</v>
      </c>
      <c r="F32" s="84">
        <f>IF(C32=$D$27,$E$27)</f>
        <v>30</v>
      </c>
      <c r="G32" s="85">
        <f t="shared" ref="G32:G49" si="1">(E32-F32)*D32</f>
        <v>527850</v>
      </c>
    </row>
    <row r="33" spans="1:7" s="22" customFormat="1" ht="21" customHeight="1" x14ac:dyDescent="0.3">
      <c r="A33" s="50"/>
      <c r="B33" s="51">
        <f>B32</f>
        <v>0.23</v>
      </c>
      <c r="C33" s="52" t="s">
        <v>99</v>
      </c>
      <c r="D33" s="45">
        <f>$B$28*B32*(1-$B$29)</f>
        <v>1863.0000000000002</v>
      </c>
      <c r="E33" s="65">
        <v>39</v>
      </c>
      <c r="F33" s="84">
        <f>IF(C33=$D$28,$E$28)</f>
        <v>10</v>
      </c>
      <c r="G33" s="67">
        <f t="shared" si="1"/>
        <v>54027.000000000007</v>
      </c>
    </row>
    <row r="34" spans="1:7" s="22" customFormat="1" ht="21" customHeight="1" x14ac:dyDescent="0.3">
      <c r="A34" s="115" t="s">
        <v>119</v>
      </c>
      <c r="B34" s="56">
        <v>0.13997757159029112</v>
      </c>
      <c r="C34" s="44" t="s">
        <v>95</v>
      </c>
      <c r="D34" s="57">
        <f>$B$26*B34*$B$27</f>
        <v>1.6797308590834933E-2</v>
      </c>
      <c r="E34" s="65">
        <v>35</v>
      </c>
      <c r="F34" s="84">
        <f>IF(C34=$D$27,$E$27)</f>
        <v>30</v>
      </c>
      <c r="G34" s="67">
        <f t="shared" si="1"/>
        <v>8.3986542954174667E-2</v>
      </c>
    </row>
    <row r="35" spans="1:7" s="22" customFormat="1" ht="21" customHeight="1" x14ac:dyDescent="0.3">
      <c r="A35" s="50"/>
      <c r="B35" s="56">
        <f>B34</f>
        <v>0.13997757159029112</v>
      </c>
      <c r="C35" s="52" t="s">
        <v>99</v>
      </c>
      <c r="D35" s="57">
        <f>$B$26*B34*(1-$B$27)</f>
        <v>3.9193720045281509E-2</v>
      </c>
      <c r="E35" s="65">
        <v>20</v>
      </c>
      <c r="F35" s="84">
        <f>IF(C35=$D$28,$E$28)</f>
        <v>10</v>
      </c>
      <c r="G35" s="67">
        <f t="shared" si="1"/>
        <v>0.3919372004528151</v>
      </c>
    </row>
    <row r="36" spans="1:7" s="22" customFormat="1" ht="21" customHeight="1" x14ac:dyDescent="0.3">
      <c r="A36" s="55" t="s">
        <v>106</v>
      </c>
      <c r="B36" s="56">
        <v>0.10890501471557403</v>
      </c>
      <c r="C36" s="44" t="s">
        <v>95</v>
      </c>
      <c r="D36" s="57">
        <f>$B$28*B36*$B$29</f>
        <v>4998.7401754448483</v>
      </c>
      <c r="E36" s="65">
        <v>0</v>
      </c>
      <c r="F36" s="38">
        <v>0</v>
      </c>
      <c r="G36" s="67">
        <f t="shared" si="1"/>
        <v>0</v>
      </c>
    </row>
    <row r="37" spans="1:7" s="22" customFormat="1" ht="21" customHeight="1" x14ac:dyDescent="0.3">
      <c r="A37" s="55"/>
      <c r="B37" s="56">
        <f>B36</f>
        <v>0.10890501471557403</v>
      </c>
      <c r="C37" s="52" t="s">
        <v>99</v>
      </c>
      <c r="D37" s="57">
        <f>$B$28*B36*(1-$B$29)</f>
        <v>882.13061919614984</v>
      </c>
      <c r="E37" s="65">
        <v>0</v>
      </c>
      <c r="F37" s="38">
        <v>0</v>
      </c>
      <c r="G37" s="67">
        <f t="shared" si="1"/>
        <v>0</v>
      </c>
    </row>
    <row r="38" spans="1:7" s="22" customFormat="1" ht="21" customHeight="1" x14ac:dyDescent="0.3">
      <c r="A38" s="55" t="s">
        <v>101</v>
      </c>
      <c r="B38" s="56">
        <v>1.7576183312764917E-2</v>
      </c>
      <c r="C38" s="44" t="s">
        <v>95</v>
      </c>
      <c r="D38" s="57">
        <f>$B$28*B38*$B$29</f>
        <v>806.74681405590957</v>
      </c>
      <c r="E38" s="65">
        <v>100</v>
      </c>
      <c r="F38" s="84">
        <f>IF(C38=$D$27,$E$27)</f>
        <v>30</v>
      </c>
      <c r="G38" s="67">
        <f t="shared" si="1"/>
        <v>56472.276983913667</v>
      </c>
    </row>
    <row r="39" spans="1:7" s="22" customFormat="1" ht="21" customHeight="1" x14ac:dyDescent="0.3">
      <c r="A39" s="55"/>
      <c r="B39" s="56">
        <f>B38</f>
        <v>1.7576183312764917E-2</v>
      </c>
      <c r="C39" s="52" t="s">
        <v>99</v>
      </c>
      <c r="D39" s="57">
        <f>$B$28*B38*(1-$B$29)</f>
        <v>142.36708483339584</v>
      </c>
      <c r="E39" s="65">
        <v>21</v>
      </c>
      <c r="F39" s="84">
        <f>IF(C39=$D$28,$E$28)</f>
        <v>10</v>
      </c>
      <c r="G39" s="67">
        <f t="shared" si="1"/>
        <v>1566.0379331673541</v>
      </c>
    </row>
    <row r="40" spans="1:7" s="22" customFormat="1" ht="21" customHeight="1" x14ac:dyDescent="0.3">
      <c r="A40" s="55" t="s">
        <v>102</v>
      </c>
      <c r="B40" s="56">
        <v>3.0276897059390639E-2</v>
      </c>
      <c r="C40" s="44" t="s">
        <v>95</v>
      </c>
      <c r="D40" s="57">
        <f t="shared" ref="D40" si="2">$B$28*B40*$B$29</f>
        <v>1389.7095750260303</v>
      </c>
      <c r="E40" s="65">
        <v>50</v>
      </c>
      <c r="F40" s="84">
        <f>IF(C40=$D$27,$E$27)</f>
        <v>30</v>
      </c>
      <c r="G40" s="67">
        <f t="shared" si="1"/>
        <v>27794.191500520606</v>
      </c>
    </row>
    <row r="41" spans="1:7" s="22" customFormat="1" ht="21" customHeight="1" x14ac:dyDescent="0.3">
      <c r="A41" s="38"/>
      <c r="B41" s="56">
        <f>B40</f>
        <v>3.0276897059390639E-2</v>
      </c>
      <c r="C41" s="52" t="s">
        <v>99</v>
      </c>
      <c r="D41" s="57">
        <f t="shared" ref="D41" si="3">$B$28*B40*(1-$B$29)</f>
        <v>245.24286618106422</v>
      </c>
      <c r="E41" s="65">
        <v>7</v>
      </c>
      <c r="F41" s="84">
        <f>IF(C41=$D$28,$E$28)</f>
        <v>10</v>
      </c>
      <c r="G41" s="67">
        <f t="shared" si="1"/>
        <v>-735.72859854319267</v>
      </c>
    </row>
    <row r="42" spans="1:7" s="22" customFormat="1" ht="21" customHeight="1" x14ac:dyDescent="0.3">
      <c r="A42" s="55" t="s">
        <v>103</v>
      </c>
      <c r="B42" s="56">
        <v>3.0176878625456493E-2</v>
      </c>
      <c r="C42" s="44" t="s">
        <v>95</v>
      </c>
      <c r="D42" s="57">
        <f t="shared" ref="D42" si="4">$B$28*B42*$B$29</f>
        <v>1385.118728908453</v>
      </c>
      <c r="E42" s="65">
        <v>40</v>
      </c>
      <c r="F42" s="84">
        <f>IF(C42=$D$27,$E$27)</f>
        <v>30</v>
      </c>
      <c r="G42" s="67">
        <f t="shared" si="1"/>
        <v>13851.18728908453</v>
      </c>
    </row>
    <row r="43" spans="1:7" s="22" customFormat="1" ht="21" customHeight="1" x14ac:dyDescent="0.3">
      <c r="A43" s="53"/>
      <c r="B43" s="56">
        <f>B42</f>
        <v>3.0176878625456493E-2</v>
      </c>
      <c r="C43" s="52" t="s">
        <v>99</v>
      </c>
      <c r="D43" s="57">
        <f t="shared" ref="D43" si="5">$B$28*B42*(1-$B$29)</f>
        <v>244.43271686619761</v>
      </c>
      <c r="E43" s="65">
        <v>14</v>
      </c>
      <c r="F43" s="84">
        <f>IF(C43=$D$28,$E$28)</f>
        <v>10</v>
      </c>
      <c r="G43" s="67">
        <f t="shared" si="1"/>
        <v>977.73086746479044</v>
      </c>
    </row>
    <row r="44" spans="1:7" s="22" customFormat="1" ht="21" customHeight="1" x14ac:dyDescent="0.3">
      <c r="A44" s="43" t="s">
        <v>104</v>
      </c>
      <c r="B44" s="56">
        <v>4.6309485003301121E-2</v>
      </c>
      <c r="C44" s="44" t="s">
        <v>95</v>
      </c>
      <c r="D44" s="57">
        <f t="shared" ref="D44" si="6">$B$28*B44*$B$29</f>
        <v>2125.6053616515214</v>
      </c>
      <c r="E44" s="65">
        <v>16</v>
      </c>
      <c r="F44" s="84">
        <f>IF(C44=$D$27,$E$27)</f>
        <v>30</v>
      </c>
      <c r="G44" s="67">
        <f t="shared" si="1"/>
        <v>-29758.475063121299</v>
      </c>
    </row>
    <row r="45" spans="1:7" s="22" customFormat="1" ht="21" customHeight="1" x14ac:dyDescent="0.3">
      <c r="A45" s="43"/>
      <c r="B45" s="56">
        <f>B44</f>
        <v>4.6309485003301121E-2</v>
      </c>
      <c r="C45" s="52" t="s">
        <v>99</v>
      </c>
      <c r="D45" s="57">
        <f t="shared" ref="D45" si="7">$B$28*B44*(1-$B$29)</f>
        <v>375.10682852673915</v>
      </c>
      <c r="E45" s="65">
        <v>8</v>
      </c>
      <c r="F45" s="84">
        <f>IF(C45=$D$28,$E$28)</f>
        <v>10</v>
      </c>
      <c r="G45" s="67">
        <f t="shared" si="1"/>
        <v>-750.2136570534783</v>
      </c>
    </row>
    <row r="46" spans="1:7" s="22" customFormat="1" ht="21" customHeight="1" x14ac:dyDescent="0.3">
      <c r="A46" s="43" t="s">
        <v>105</v>
      </c>
      <c r="B46" s="56">
        <v>3.1358678614467811E-2</v>
      </c>
      <c r="C46" s="44" t="s">
        <v>95</v>
      </c>
      <c r="D46" s="57">
        <f t="shared" ref="D46" si="8">$B$28*B46*$B$29</f>
        <v>1439.3633484040724</v>
      </c>
      <c r="E46" s="65">
        <v>25</v>
      </c>
      <c r="F46" s="84">
        <f>IF(C46=$D$27,$E$27)</f>
        <v>30</v>
      </c>
      <c r="G46" s="67">
        <f t="shared" si="1"/>
        <v>-7196.8167420203627</v>
      </c>
    </row>
    <row r="47" spans="1:7" s="22" customFormat="1" ht="21" customHeight="1" x14ac:dyDescent="0.3">
      <c r="A47" s="43"/>
      <c r="B47" s="56">
        <f>B46</f>
        <v>3.1358678614467811E-2</v>
      </c>
      <c r="C47" s="52" t="s">
        <v>99</v>
      </c>
      <c r="D47" s="57">
        <f t="shared" ref="D47" si="9">$B$28*B46*(1-$B$29)</f>
        <v>254.00529677718933</v>
      </c>
      <c r="E47" s="65">
        <v>6</v>
      </c>
      <c r="F47" s="84">
        <f>IF(C47=$D$28,$E$28)</f>
        <v>10</v>
      </c>
      <c r="G47" s="67">
        <f t="shared" si="1"/>
        <v>-1016.0211871087573</v>
      </c>
    </row>
    <row r="48" spans="1:7" s="22" customFormat="1" ht="21" customHeight="1" x14ac:dyDescent="0.3">
      <c r="A48" s="43" t="s">
        <v>107</v>
      </c>
      <c r="B48" s="58">
        <f>(2-SUM(B32:B47))/2</f>
        <v>0.36541929107875393</v>
      </c>
      <c r="C48" s="44" t="s">
        <v>95</v>
      </c>
      <c r="D48" s="57">
        <f t="shared" ref="D48" si="10">$B$28*B48*$B$29</f>
        <v>16772.745460514805</v>
      </c>
      <c r="E48" s="65">
        <v>35</v>
      </c>
      <c r="F48" s="84">
        <f>IF(C48=$D$27,$E$27)</f>
        <v>30</v>
      </c>
      <c r="G48" s="67">
        <f t="shared" si="1"/>
        <v>83863.727302574029</v>
      </c>
    </row>
    <row r="49" spans="1:7" s="22" customFormat="1" ht="21" customHeight="1" x14ac:dyDescent="0.3">
      <c r="A49" s="43"/>
      <c r="B49" s="56">
        <f>B48</f>
        <v>0.36541929107875393</v>
      </c>
      <c r="C49" s="52" t="s">
        <v>99</v>
      </c>
      <c r="D49" s="57">
        <f t="shared" ref="D49" si="11">$B$28*B48*(1-$B$29)</f>
        <v>2959.896257737907</v>
      </c>
      <c r="E49" s="65">
        <v>8</v>
      </c>
      <c r="F49" s="84">
        <f>IF(C49=$D$28,$E$28)</f>
        <v>10</v>
      </c>
      <c r="G49" s="67">
        <f t="shared" si="1"/>
        <v>-5919.7925154758141</v>
      </c>
    </row>
    <row r="50" spans="1:7" s="22" customFormat="1" ht="21" customHeight="1" x14ac:dyDescent="0.3">
      <c r="A50" s="68" t="s">
        <v>61</v>
      </c>
      <c r="B50" s="47"/>
      <c r="C50" s="46" t="s">
        <v>83</v>
      </c>
      <c r="D50" s="47">
        <f>SUM(D32:D49)</f>
        <v>46441.267125152917</v>
      </c>
      <c r="E50" s="66" t="s">
        <v>83</v>
      </c>
      <c r="F50" s="38"/>
      <c r="G50" s="67">
        <f>SUM(G32:G49)</f>
        <v>721025.58003714564</v>
      </c>
    </row>
    <row r="51" spans="1:7" s="22" customFormat="1" ht="21" customHeight="1" x14ac:dyDescent="0.3">
      <c r="A51" s="38" t="s">
        <v>86</v>
      </c>
      <c r="B51" s="67">
        <f>B25*B26</f>
        <v>180000</v>
      </c>
      <c r="E51" s="17"/>
    </row>
    <row r="52" spans="1:7" s="22" customFormat="1" ht="21" customHeight="1" x14ac:dyDescent="0.3">
      <c r="A52" s="69" t="s">
        <v>87</v>
      </c>
      <c r="B52" s="67">
        <f>B51+G50</f>
        <v>901025.58003714564</v>
      </c>
      <c r="E52" s="17"/>
    </row>
    <row r="53" spans="1:7" s="22" customFormat="1" ht="21" customHeight="1" x14ac:dyDescent="0.3">
      <c r="A53" s="25"/>
      <c r="B53" s="59"/>
      <c r="E53" s="17"/>
    </row>
    <row r="54" spans="1:7" s="22" customFormat="1" ht="21" customHeight="1" x14ac:dyDescent="0.3">
      <c r="A54" s="70" t="s">
        <v>89</v>
      </c>
      <c r="B54" s="71">
        <v>-240000</v>
      </c>
      <c r="C54" s="14" t="s">
        <v>64</v>
      </c>
      <c r="E54" s="17"/>
    </row>
    <row r="55" spans="1:7" s="22" customFormat="1" ht="21" customHeight="1" x14ac:dyDescent="0.3">
      <c r="A55" s="70" t="s">
        <v>88</v>
      </c>
      <c r="B55" s="71">
        <v>-540000</v>
      </c>
      <c r="C55" s="14" t="s">
        <v>65</v>
      </c>
      <c r="E55" s="17"/>
    </row>
    <row r="56" spans="1:7" s="22" customFormat="1" ht="21" customHeight="1" x14ac:dyDescent="0.3">
      <c r="A56" s="70" t="s">
        <v>90</v>
      </c>
      <c r="B56" s="71">
        <f>-300*5*365*2</f>
        <v>-1095000</v>
      </c>
      <c r="C56" s="14" t="s">
        <v>66</v>
      </c>
      <c r="E56" s="17"/>
    </row>
    <row r="57" spans="1:7" s="22" customFormat="1" ht="21" customHeight="1" x14ac:dyDescent="0.3">
      <c r="A57" s="38" t="s">
        <v>92</v>
      </c>
      <c r="B57" s="67"/>
      <c r="C57" s="22" t="s">
        <v>122</v>
      </c>
      <c r="E57" s="17"/>
    </row>
    <row r="58" spans="1:7" s="22" customFormat="1" ht="21" customHeight="1" x14ac:dyDescent="0.3">
      <c r="E58" s="17"/>
    </row>
    <row r="59" spans="1:7" ht="19" customHeight="1" x14ac:dyDescent="0.3">
      <c r="A59" s="72" t="s">
        <v>108</v>
      </c>
      <c r="B59" s="73">
        <f>SUM(B52:B57)</f>
        <v>-973974.41996285436</v>
      </c>
    </row>
    <row r="60" spans="1:7" ht="19" customHeight="1" x14ac:dyDescent="0.3"/>
    <row r="61" spans="1:7" ht="19" customHeight="1" x14ac:dyDescent="0.3"/>
    <row r="62" spans="1:7" ht="19" customHeight="1" x14ac:dyDescent="0.3"/>
    <row r="63" spans="1:7" ht="19" customHeight="1" x14ac:dyDescent="0.3"/>
    <row r="64" spans="1:7" ht="19" customHeight="1" x14ac:dyDescent="0.3"/>
    <row r="65" spans="1:5" ht="19" customHeight="1" x14ac:dyDescent="0.3">
      <c r="A65" s="26"/>
    </row>
    <row r="66" spans="1:5" ht="19" customHeight="1" x14ac:dyDescent="0.3">
      <c r="A66" s="26"/>
      <c r="B66" s="21"/>
      <c r="E66" s="15"/>
    </row>
    <row r="67" spans="1:5" ht="19" customHeight="1" x14ac:dyDescent="0.3">
      <c r="A67" s="26"/>
    </row>
  </sheetData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EAFC-EBD2-4D79-A8B6-12E0D3F4512B}">
  <sheetPr>
    <outlinePr summaryBelow="0" summaryRight="0"/>
  </sheetPr>
  <dimension ref="A1:H67"/>
  <sheetViews>
    <sheetView zoomScaleNormal="100" workbookViewId="0">
      <selection activeCell="D20" sqref="D20"/>
    </sheetView>
  </sheetViews>
  <sheetFormatPr defaultColWidth="14" defaultRowHeight="11.5" x14ac:dyDescent="0.3"/>
  <cols>
    <col min="1" max="1" width="27" style="22" customWidth="1"/>
    <col min="2" max="2" width="14.54296875" style="20" customWidth="1"/>
    <col min="3" max="3" width="27.1796875" style="20" bestFit="1" customWidth="1"/>
    <col min="4" max="4" width="26" style="20" customWidth="1"/>
    <col min="5" max="5" width="43.54296875" style="16" customWidth="1"/>
    <col min="6" max="6" width="56" style="20" bestFit="1" customWidth="1"/>
    <col min="7" max="7" width="17.453125" style="20" customWidth="1"/>
    <col min="8" max="17" width="12" style="20" customWidth="1"/>
    <col min="18" max="18" width="17" style="20" customWidth="1"/>
    <col min="19" max="16384" width="14" style="20"/>
  </cols>
  <sheetData>
    <row r="1" spans="1:6" ht="21" customHeight="1" x14ac:dyDescent="0.3">
      <c r="A1" s="22" t="s">
        <v>120</v>
      </c>
      <c r="B1" s="27">
        <v>0.95</v>
      </c>
    </row>
    <row r="2" spans="1:6" ht="21" customHeight="1" x14ac:dyDescent="0.3">
      <c r="A2" s="22" t="s">
        <v>121</v>
      </c>
      <c r="B2" s="130">
        <v>0.05</v>
      </c>
    </row>
    <row r="3" spans="1:6" ht="21" customHeight="1" thickBot="1" x14ac:dyDescent="0.35">
      <c r="A3" s="22" t="s">
        <v>110</v>
      </c>
      <c r="B3" s="139">
        <v>4.4499999999999998E-2</v>
      </c>
      <c r="D3" s="27"/>
      <c r="E3" s="121"/>
    </row>
    <row r="4" spans="1:6" ht="21" customHeight="1" x14ac:dyDescent="0.3">
      <c r="A4" s="91" t="s">
        <v>72</v>
      </c>
      <c r="B4" s="92" t="s">
        <v>51</v>
      </c>
      <c r="C4" s="93" t="s">
        <v>52</v>
      </c>
      <c r="D4" s="94" t="s">
        <v>53</v>
      </c>
      <c r="E4" s="94" t="s">
        <v>129</v>
      </c>
      <c r="F4" s="95" t="s">
        <v>46</v>
      </c>
    </row>
    <row r="5" spans="1:6" ht="21" customHeight="1" x14ac:dyDescent="0.25">
      <c r="A5" s="96" t="s">
        <v>54</v>
      </c>
      <c r="B5" s="75">
        <f>B16*B1</f>
        <v>213750000</v>
      </c>
      <c r="C5" s="29">
        <f>B3*85%*5%+B3*95%</f>
        <v>4.416624999999999E-2</v>
      </c>
      <c r="D5" s="30">
        <f>B5*C5</f>
        <v>9440535.9374999981</v>
      </c>
      <c r="E5" s="90">
        <f>D5/$B$16</f>
        <v>4.1957937499999994E-2</v>
      </c>
      <c r="F5" s="97" t="s">
        <v>115</v>
      </c>
    </row>
    <row r="6" spans="1:6" ht="21" customHeight="1" x14ac:dyDescent="0.25">
      <c r="A6" s="98" t="s">
        <v>112</v>
      </c>
      <c r="B6" s="75">
        <f>(B16-B5)*10%</f>
        <v>1125000</v>
      </c>
      <c r="C6" s="29">
        <v>0.05</v>
      </c>
      <c r="D6" s="30">
        <f>B6*C6</f>
        <v>56250</v>
      </c>
      <c r="E6" s="90">
        <f t="shared" ref="E6:E18" si="0">D6/$B$16</f>
        <v>2.5000000000000001E-4</v>
      </c>
      <c r="F6" s="97" t="s">
        <v>116</v>
      </c>
    </row>
    <row r="7" spans="1:6" ht="21" customHeight="1" x14ac:dyDescent="0.25">
      <c r="A7" s="98" t="s">
        <v>111</v>
      </c>
      <c r="B7" s="76">
        <f>(B16-B5)*90%</f>
        <v>10125000</v>
      </c>
      <c r="C7" s="31">
        <v>0.12</v>
      </c>
      <c r="D7" s="30">
        <f>B7*C7</f>
        <v>1215000</v>
      </c>
      <c r="E7" s="90">
        <f t="shared" si="0"/>
        <v>5.4000000000000003E-3</v>
      </c>
      <c r="F7" s="97" t="s">
        <v>116</v>
      </c>
    </row>
    <row r="8" spans="1:6" ht="21" customHeight="1" x14ac:dyDescent="0.25">
      <c r="A8" s="99" t="s">
        <v>55</v>
      </c>
      <c r="B8" s="32"/>
      <c r="C8" s="32"/>
      <c r="D8" s="30">
        <f>100000/2</f>
        <v>50000</v>
      </c>
      <c r="E8" s="90">
        <f t="shared" si="0"/>
        <v>2.2222222222222223E-4</v>
      </c>
      <c r="F8" s="100"/>
    </row>
    <row r="9" spans="1:6" ht="21" customHeight="1" x14ac:dyDescent="0.25">
      <c r="A9" s="96" t="s">
        <v>77</v>
      </c>
      <c r="B9" s="32"/>
      <c r="C9" s="32"/>
      <c r="D9" s="129"/>
      <c r="E9" s="127">
        <f t="shared" si="0"/>
        <v>0</v>
      </c>
      <c r="F9" s="100"/>
    </row>
    <row r="10" spans="1:6" ht="21" customHeight="1" x14ac:dyDescent="0.25">
      <c r="A10" s="99" t="s">
        <v>56</v>
      </c>
      <c r="B10" s="32"/>
      <c r="C10" s="32"/>
      <c r="D10" s="30">
        <f>1800000*1.44%*300*10%/2</f>
        <v>388800</v>
      </c>
      <c r="E10" s="90">
        <f t="shared" si="0"/>
        <v>1.7279999999999999E-3</v>
      </c>
      <c r="F10" s="97" t="s">
        <v>57</v>
      </c>
    </row>
    <row r="11" spans="1:6" ht="36" customHeight="1" x14ac:dyDescent="0.25">
      <c r="A11" s="101" t="s">
        <v>68</v>
      </c>
      <c r="B11" s="33"/>
      <c r="C11" s="33"/>
      <c r="D11" s="34">
        <f>69091*1.5*15%*350*(10%-4.5%)/2</f>
        <v>149625.19687499999</v>
      </c>
      <c r="E11" s="90">
        <f t="shared" si="0"/>
        <v>6.6500087499999998E-4</v>
      </c>
      <c r="F11" s="114" t="s">
        <v>69</v>
      </c>
    </row>
    <row r="12" spans="1:6" ht="25.75" customHeight="1" thickBot="1" x14ac:dyDescent="0.3">
      <c r="A12" s="102" t="s">
        <v>59</v>
      </c>
      <c r="B12" s="103"/>
      <c r="C12" s="103"/>
      <c r="D12" s="104">
        <v>0</v>
      </c>
      <c r="E12" s="105">
        <f t="shared" si="0"/>
        <v>0</v>
      </c>
      <c r="F12" s="106" t="s">
        <v>60</v>
      </c>
    </row>
    <row r="13" spans="1:6" ht="21" customHeight="1" thickBot="1" x14ac:dyDescent="0.35">
      <c r="B13" s="22"/>
      <c r="C13" s="22"/>
      <c r="D13" s="22"/>
      <c r="E13" s="89"/>
    </row>
    <row r="14" spans="1:6" ht="21" customHeight="1" x14ac:dyDescent="0.3">
      <c r="A14" s="91" t="s">
        <v>73</v>
      </c>
      <c r="B14" s="92" t="s">
        <v>51</v>
      </c>
      <c r="C14" s="93" t="s">
        <v>124</v>
      </c>
      <c r="D14" s="107" t="s">
        <v>74</v>
      </c>
      <c r="E14" s="94" t="s">
        <v>129</v>
      </c>
      <c r="F14" s="95" t="s">
        <v>46</v>
      </c>
    </row>
    <row r="15" spans="1:6" ht="21" customHeight="1" x14ac:dyDescent="0.25">
      <c r="A15" s="99" t="s">
        <v>67</v>
      </c>
      <c r="B15" s="32"/>
      <c r="C15" s="32"/>
      <c r="D15" s="75">
        <f>-1800000*0.8/2</f>
        <v>-720000</v>
      </c>
      <c r="E15" s="90">
        <f t="shared" si="0"/>
        <v>-3.2000000000000002E-3</v>
      </c>
      <c r="F15" s="111" t="s">
        <v>58</v>
      </c>
    </row>
    <row r="16" spans="1:6" ht="21" customHeight="1" x14ac:dyDescent="0.25">
      <c r="A16" s="117" t="s">
        <v>132</v>
      </c>
      <c r="B16" s="28">
        <f>450000000/2</f>
        <v>225000000</v>
      </c>
      <c r="C16" s="116">
        <f>-3%/2</f>
        <v>-1.4999999999999999E-2</v>
      </c>
      <c r="D16" s="75">
        <f>B16*C16</f>
        <v>-3375000</v>
      </c>
      <c r="E16" s="90">
        <f t="shared" si="0"/>
        <v>-1.4999999999999999E-2</v>
      </c>
      <c r="F16" s="111" t="s">
        <v>76</v>
      </c>
    </row>
    <row r="17" spans="1:8" s="22" customFormat="1" ht="21" customHeight="1" x14ac:dyDescent="0.3">
      <c r="A17" s="108" t="s">
        <v>70</v>
      </c>
      <c r="B17" s="123">
        <f>B7</f>
        <v>10125000</v>
      </c>
      <c r="C17" s="39">
        <v>-1.2E-2</v>
      </c>
      <c r="D17" s="119">
        <f>B17*C17</f>
        <v>-121500</v>
      </c>
      <c r="E17" s="90">
        <f t="shared" si="0"/>
        <v>-5.4000000000000001E-4</v>
      </c>
      <c r="F17" s="100"/>
    </row>
    <row r="18" spans="1:8" s="22" customFormat="1" ht="21" customHeight="1" thickBot="1" x14ac:dyDescent="0.35">
      <c r="A18" s="109" t="s">
        <v>71</v>
      </c>
      <c r="B18" s="124">
        <f>B7</f>
        <v>10125000</v>
      </c>
      <c r="C18" s="110">
        <v>-0.03</v>
      </c>
      <c r="D18" s="120">
        <f>B18*C18</f>
        <v>-303750</v>
      </c>
      <c r="E18" s="105">
        <f t="shared" si="0"/>
        <v>-1.3500000000000001E-3</v>
      </c>
      <c r="F18" s="112"/>
    </row>
    <row r="19" spans="1:8" s="22" customFormat="1" ht="21" customHeight="1" thickBot="1" x14ac:dyDescent="0.35">
      <c r="A19" s="36"/>
      <c r="B19" s="37"/>
      <c r="C19" s="37"/>
      <c r="D19" s="37"/>
      <c r="F19" s="18"/>
    </row>
    <row r="20" spans="1:8" s="22" customFormat="1" ht="21" customHeight="1" thickBot="1" x14ac:dyDescent="0.35">
      <c r="A20" s="40" t="s">
        <v>75</v>
      </c>
      <c r="B20" s="41"/>
      <c r="C20" s="41"/>
      <c r="D20" s="42">
        <f>SUM(D5:D18)/B16</f>
        <v>3.0133160597222215E-2</v>
      </c>
      <c r="F20" s="17"/>
    </row>
    <row r="21" spans="1:8" s="22" customFormat="1" ht="21" customHeight="1" x14ac:dyDescent="0.3">
      <c r="A21" s="35"/>
      <c r="B21" s="23"/>
      <c r="C21" s="24"/>
      <c r="D21" s="23"/>
      <c r="E21" s="136" t="s">
        <v>79</v>
      </c>
      <c r="F21" s="136" t="s">
        <v>130</v>
      </c>
      <c r="G21" s="136" t="s">
        <v>131</v>
      </c>
      <c r="H21" s="136" t="s">
        <v>77</v>
      </c>
    </row>
    <row r="22" spans="1:8" s="22" customFormat="1" ht="21" customHeight="1" x14ac:dyDescent="0.3">
      <c r="A22" s="35"/>
      <c r="B22" s="23"/>
      <c r="C22" s="24"/>
      <c r="D22" s="23"/>
      <c r="E22" s="140">
        <v>0.3</v>
      </c>
      <c r="F22" s="137">
        <v>1772977</v>
      </c>
      <c r="G22" s="137">
        <v>1430461</v>
      </c>
      <c r="H22" s="138">
        <f>F22-G22</f>
        <v>342516</v>
      </c>
    </row>
    <row r="23" spans="1:8" s="22" customFormat="1" ht="21" customHeight="1" x14ac:dyDescent="0.3">
      <c r="A23" s="35"/>
      <c r="B23" s="62"/>
      <c r="C23" s="23"/>
      <c r="D23" s="23"/>
      <c r="E23" s="141">
        <v>0.22</v>
      </c>
    </row>
    <row r="24" spans="1:8" s="22" customFormat="1" ht="21" customHeight="1" x14ac:dyDescent="0.3">
      <c r="A24" s="60" t="s">
        <v>78</v>
      </c>
      <c r="B24" s="32"/>
      <c r="C24" s="61"/>
      <c r="D24" s="23"/>
      <c r="E24" s="19"/>
    </row>
    <row r="25" spans="1:8" s="22" customFormat="1" ht="21" customHeight="1" x14ac:dyDescent="0.3">
      <c r="A25" s="38" t="s">
        <v>96</v>
      </c>
      <c r="B25" s="63">
        <f>1800000*25%</f>
        <v>450000</v>
      </c>
      <c r="C25" s="61"/>
      <c r="D25" s="23"/>
      <c r="E25" s="19"/>
    </row>
    <row r="26" spans="1:8" s="22" customFormat="1" ht="21" customHeight="1" x14ac:dyDescent="0.3">
      <c r="A26" s="38" t="s">
        <v>79</v>
      </c>
      <c r="B26" s="64">
        <v>0.4</v>
      </c>
      <c r="C26" s="61" t="s">
        <v>114</v>
      </c>
      <c r="D26" s="113"/>
      <c r="E26" s="88" t="s">
        <v>118</v>
      </c>
    </row>
    <row r="27" spans="1:8" s="22" customFormat="1" ht="21" customHeight="1" x14ac:dyDescent="0.3">
      <c r="A27" s="38" t="s">
        <v>97</v>
      </c>
      <c r="B27" s="122">
        <v>0.3</v>
      </c>
      <c r="C27" s="48" t="s">
        <v>113</v>
      </c>
      <c r="D27" s="32" t="s">
        <v>95</v>
      </c>
      <c r="E27" s="88">
        <v>30</v>
      </c>
    </row>
    <row r="28" spans="1:8" s="22" customFormat="1" ht="21" customHeight="1" x14ac:dyDescent="0.3">
      <c r="A28" s="38" t="s">
        <v>98</v>
      </c>
      <c r="B28" s="32">
        <f>B25*B26*B27</f>
        <v>54000</v>
      </c>
      <c r="C28" s="48"/>
      <c r="D28" s="32" t="s">
        <v>99</v>
      </c>
      <c r="E28" s="88">
        <v>10</v>
      </c>
    </row>
    <row r="29" spans="1:8" s="22" customFormat="1" ht="21" customHeight="1" x14ac:dyDescent="0.3">
      <c r="A29" s="77" t="s">
        <v>94</v>
      </c>
      <c r="B29" s="78">
        <v>0.85</v>
      </c>
      <c r="C29" s="79" t="s">
        <v>114</v>
      </c>
      <c r="D29" s="87"/>
      <c r="E29" s="49"/>
      <c r="F29" s="80"/>
      <c r="G29" s="80"/>
    </row>
    <row r="30" spans="1:8" s="22" customFormat="1" ht="21" customHeight="1" x14ac:dyDescent="0.3">
      <c r="A30" s="77"/>
      <c r="B30" s="78"/>
      <c r="C30" s="118"/>
      <c r="D30" s="118"/>
      <c r="E30" s="49"/>
      <c r="F30" s="80"/>
      <c r="G30" s="80"/>
    </row>
    <row r="31" spans="1:8" s="22" customFormat="1" ht="21" customHeight="1" x14ac:dyDescent="0.3">
      <c r="A31" s="86" t="s">
        <v>80</v>
      </c>
      <c r="B31" s="86" t="s">
        <v>81</v>
      </c>
      <c r="C31" s="86" t="s">
        <v>82</v>
      </c>
      <c r="D31" s="86" t="s">
        <v>85</v>
      </c>
      <c r="E31" s="86" t="s">
        <v>123</v>
      </c>
      <c r="F31" s="86" t="s">
        <v>84</v>
      </c>
      <c r="G31" s="38" t="s">
        <v>100</v>
      </c>
      <c r="H31" s="38" t="s">
        <v>91</v>
      </c>
    </row>
    <row r="32" spans="1:8" s="22" customFormat="1" ht="21" customHeight="1" x14ac:dyDescent="0.3">
      <c r="A32" s="53" t="s">
        <v>93</v>
      </c>
      <c r="B32" s="81">
        <v>0.23</v>
      </c>
      <c r="C32" s="54" t="s">
        <v>95</v>
      </c>
      <c r="D32" s="82">
        <f>$B$28*B32*$B$29</f>
        <v>10557</v>
      </c>
      <c r="E32" s="83">
        <v>80</v>
      </c>
      <c r="F32" s="125">
        <f>E32/0.22</f>
        <v>363.63636363636363</v>
      </c>
      <c r="G32" s="84">
        <f>IF(C32=$D$27,$E$27)</f>
        <v>30</v>
      </c>
      <c r="H32" s="85">
        <f>(F32-G32)*D32</f>
        <v>3522199.0909090908</v>
      </c>
    </row>
    <row r="33" spans="1:8" s="22" customFormat="1" ht="21" customHeight="1" x14ac:dyDescent="0.3">
      <c r="A33" s="50"/>
      <c r="B33" s="51">
        <f>B32</f>
        <v>0.23</v>
      </c>
      <c r="C33" s="52" t="s">
        <v>99</v>
      </c>
      <c r="D33" s="45">
        <f>$B$28*B32*(1-$B$29)</f>
        <v>1863.0000000000002</v>
      </c>
      <c r="E33" s="65">
        <v>39</v>
      </c>
      <c r="F33" s="125">
        <f t="shared" ref="F33:F49" si="1">E33/0.22</f>
        <v>177.27272727272728</v>
      </c>
      <c r="G33" s="84">
        <f>IF(C33=$D$28,$E$28)</f>
        <v>10</v>
      </c>
      <c r="H33" s="85">
        <f t="shared" ref="H33:H50" si="2">(F33-G33)*D33</f>
        <v>311629.09090909094</v>
      </c>
    </row>
    <row r="34" spans="1:8" s="22" customFormat="1" ht="21" customHeight="1" x14ac:dyDescent="0.3">
      <c r="A34" s="115" t="s">
        <v>119</v>
      </c>
      <c r="B34" s="56">
        <v>0.13997757159029112</v>
      </c>
      <c r="C34" s="44" t="s">
        <v>95</v>
      </c>
      <c r="D34" s="57">
        <f t="shared" ref="D34" si="3">$B$26*B34*$B$27</f>
        <v>1.6797308590834933E-2</v>
      </c>
      <c r="E34" s="65">
        <v>35</v>
      </c>
      <c r="F34" s="125">
        <f t="shared" si="1"/>
        <v>159.09090909090909</v>
      </c>
      <c r="G34" s="84">
        <f>IF(C34=$D$27,$E$27)</f>
        <v>30</v>
      </c>
      <c r="H34" s="85">
        <f t="shared" si="2"/>
        <v>2.1683798362714186</v>
      </c>
    </row>
    <row r="35" spans="1:8" s="22" customFormat="1" ht="21" customHeight="1" x14ac:dyDescent="0.3">
      <c r="A35" s="50"/>
      <c r="B35" s="56">
        <f>B34</f>
        <v>0.13997757159029112</v>
      </c>
      <c r="C35" s="52" t="s">
        <v>99</v>
      </c>
      <c r="D35" s="57">
        <f t="shared" ref="D35" si="4">$B$26*B34*(1-$B$27)</f>
        <v>3.9193720045281509E-2</v>
      </c>
      <c r="E35" s="65">
        <v>20</v>
      </c>
      <c r="F35" s="125">
        <f t="shared" si="1"/>
        <v>90.909090909090907</v>
      </c>
      <c r="G35" s="84">
        <f>IF(C35=$D$28,$E$28)</f>
        <v>10</v>
      </c>
      <c r="H35" s="85">
        <f t="shared" si="2"/>
        <v>3.1711282582091402</v>
      </c>
    </row>
    <row r="36" spans="1:8" s="22" customFormat="1" ht="21" customHeight="1" x14ac:dyDescent="0.3">
      <c r="A36" s="55" t="s">
        <v>106</v>
      </c>
      <c r="B36" s="56">
        <v>0.10890501471557403</v>
      </c>
      <c r="C36" s="44" t="s">
        <v>95</v>
      </c>
      <c r="D36" s="57">
        <f>$B$28*B36*$B$29</f>
        <v>4998.7401754448483</v>
      </c>
      <c r="E36" s="65">
        <v>0</v>
      </c>
      <c r="F36" s="125">
        <f t="shared" si="1"/>
        <v>0</v>
      </c>
      <c r="G36" s="38">
        <v>0</v>
      </c>
      <c r="H36" s="85">
        <f t="shared" si="2"/>
        <v>0</v>
      </c>
    </row>
    <row r="37" spans="1:8" s="22" customFormat="1" ht="21" customHeight="1" x14ac:dyDescent="0.3">
      <c r="A37" s="55"/>
      <c r="B37" s="56">
        <f>B36</f>
        <v>0.10890501471557403</v>
      </c>
      <c r="C37" s="52" t="s">
        <v>99</v>
      </c>
      <c r="D37" s="57">
        <f>$B$28*B36*(1-$B$29)</f>
        <v>882.13061919614984</v>
      </c>
      <c r="E37" s="65">
        <v>0</v>
      </c>
      <c r="F37" s="125">
        <f t="shared" si="1"/>
        <v>0</v>
      </c>
      <c r="G37" s="38">
        <v>0</v>
      </c>
      <c r="H37" s="85">
        <f t="shared" si="2"/>
        <v>0</v>
      </c>
    </row>
    <row r="38" spans="1:8" s="22" customFormat="1" ht="21" customHeight="1" x14ac:dyDescent="0.3">
      <c r="A38" s="55" t="s">
        <v>101</v>
      </c>
      <c r="B38" s="56">
        <v>1.7576183312764917E-2</v>
      </c>
      <c r="C38" s="44" t="s">
        <v>95</v>
      </c>
      <c r="D38" s="57">
        <f>$B$28*B38*$B$29</f>
        <v>806.74681405590957</v>
      </c>
      <c r="E38" s="65">
        <v>100</v>
      </c>
      <c r="F38" s="125">
        <f t="shared" si="1"/>
        <v>454.54545454545456</v>
      </c>
      <c r="G38" s="84">
        <f>IF(C38=$D$27,$E$27)</f>
        <v>30</v>
      </c>
      <c r="H38" s="85">
        <f t="shared" si="2"/>
        <v>342500.69287646346</v>
      </c>
    </row>
    <row r="39" spans="1:8" s="22" customFormat="1" ht="21" customHeight="1" x14ac:dyDescent="0.3">
      <c r="A39" s="55"/>
      <c r="B39" s="56">
        <f>B38</f>
        <v>1.7576183312764917E-2</v>
      </c>
      <c r="C39" s="52" t="s">
        <v>99</v>
      </c>
      <c r="D39" s="57">
        <f>$B$28*B38*(1-$B$29)</f>
        <v>142.36708483339584</v>
      </c>
      <c r="E39" s="65">
        <v>21</v>
      </c>
      <c r="F39" s="125">
        <f t="shared" si="1"/>
        <v>95.454545454545453</v>
      </c>
      <c r="G39" s="84">
        <f>IF(C39=$D$28,$E$28)</f>
        <v>10</v>
      </c>
      <c r="H39" s="85">
        <f t="shared" si="2"/>
        <v>12165.914522126553</v>
      </c>
    </row>
    <row r="40" spans="1:8" s="22" customFormat="1" ht="21" customHeight="1" x14ac:dyDescent="0.3">
      <c r="A40" s="55" t="s">
        <v>102</v>
      </c>
      <c r="B40" s="56">
        <v>3.0276897059390639E-2</v>
      </c>
      <c r="C40" s="44" t="s">
        <v>95</v>
      </c>
      <c r="D40" s="57">
        <f t="shared" ref="D40" si="5">$B$28*B40*$B$29</f>
        <v>1389.7095750260303</v>
      </c>
      <c r="E40" s="65">
        <v>50</v>
      </c>
      <c r="F40" s="125">
        <f t="shared" si="1"/>
        <v>227.27272727272728</v>
      </c>
      <c r="G40" s="84">
        <f>IF(C40=$D$27,$E$27)</f>
        <v>30</v>
      </c>
      <c r="H40" s="85">
        <f t="shared" si="2"/>
        <v>274151.79798240779</v>
      </c>
    </row>
    <row r="41" spans="1:8" s="22" customFormat="1" ht="21" customHeight="1" x14ac:dyDescent="0.3">
      <c r="A41" s="38"/>
      <c r="B41" s="56">
        <f>B40</f>
        <v>3.0276897059390639E-2</v>
      </c>
      <c r="C41" s="52" t="s">
        <v>99</v>
      </c>
      <c r="D41" s="57">
        <f t="shared" ref="D41" si="6">$B$28*B40*(1-$B$29)</f>
        <v>245.24286618106422</v>
      </c>
      <c r="E41" s="65">
        <v>7</v>
      </c>
      <c r="F41" s="125">
        <f t="shared" si="1"/>
        <v>31.818181818181817</v>
      </c>
      <c r="G41" s="84">
        <f>IF(C41=$D$28,$E$28)</f>
        <v>10</v>
      </c>
      <c r="H41" s="85">
        <f t="shared" si="2"/>
        <v>5350.7534439504916</v>
      </c>
    </row>
    <row r="42" spans="1:8" s="22" customFormat="1" ht="21" customHeight="1" x14ac:dyDescent="0.3">
      <c r="A42" s="55" t="s">
        <v>103</v>
      </c>
      <c r="B42" s="56">
        <v>3.0176878625456493E-2</v>
      </c>
      <c r="C42" s="44" t="s">
        <v>95</v>
      </c>
      <c r="D42" s="57">
        <f t="shared" ref="D42" si="7">$B$28*B42*$B$29</f>
        <v>1385.118728908453</v>
      </c>
      <c r="E42" s="65">
        <v>40</v>
      </c>
      <c r="F42" s="125">
        <f t="shared" si="1"/>
        <v>181.81818181818181</v>
      </c>
      <c r="G42" s="84">
        <f>IF(C42=$D$27,$E$27)</f>
        <v>30</v>
      </c>
      <c r="H42" s="85">
        <f t="shared" si="2"/>
        <v>210286.20702519242</v>
      </c>
    </row>
    <row r="43" spans="1:8" s="22" customFormat="1" ht="21" customHeight="1" x14ac:dyDescent="0.3">
      <c r="A43" s="53"/>
      <c r="B43" s="56">
        <f>B42</f>
        <v>3.0176878625456493E-2</v>
      </c>
      <c r="C43" s="52" t="s">
        <v>99</v>
      </c>
      <c r="D43" s="57">
        <f t="shared" ref="D43" si="8">$B$28*B42*(1-$B$29)</f>
        <v>244.43271686619761</v>
      </c>
      <c r="E43" s="65">
        <v>14</v>
      </c>
      <c r="F43" s="125">
        <f t="shared" si="1"/>
        <v>63.636363636363633</v>
      </c>
      <c r="G43" s="84">
        <f>IF(C43=$D$28,$E$28)</f>
        <v>10</v>
      </c>
      <c r="H43" s="85">
        <f t="shared" si="2"/>
        <v>13110.48208645969</v>
      </c>
    </row>
    <row r="44" spans="1:8" s="22" customFormat="1" ht="21" customHeight="1" x14ac:dyDescent="0.3">
      <c r="A44" s="43" t="s">
        <v>104</v>
      </c>
      <c r="B44" s="56">
        <v>4.6309485003301121E-2</v>
      </c>
      <c r="C44" s="44" t="s">
        <v>95</v>
      </c>
      <c r="D44" s="57">
        <f t="shared" ref="D44" si="9">$B$28*B44*$B$29</f>
        <v>2125.6053616515214</v>
      </c>
      <c r="E44" s="65">
        <v>16</v>
      </c>
      <c r="F44" s="125">
        <f t="shared" si="1"/>
        <v>72.727272727272734</v>
      </c>
      <c r="G44" s="84">
        <f>IF(C44=$D$27,$E$27)</f>
        <v>30</v>
      </c>
      <c r="H44" s="85">
        <f>(F44-G44)*D44</f>
        <v>90821.319997837752</v>
      </c>
    </row>
    <row r="45" spans="1:8" s="22" customFormat="1" ht="21" customHeight="1" x14ac:dyDescent="0.3">
      <c r="A45" s="43"/>
      <c r="B45" s="56">
        <f>B44</f>
        <v>4.6309485003301121E-2</v>
      </c>
      <c r="C45" s="52" t="s">
        <v>99</v>
      </c>
      <c r="D45" s="57">
        <f t="shared" ref="D45" si="10">$B$28*B44*(1-$B$29)</f>
        <v>375.10682852673915</v>
      </c>
      <c r="E45" s="65">
        <v>8</v>
      </c>
      <c r="F45" s="125">
        <f t="shared" si="1"/>
        <v>36.363636363636367</v>
      </c>
      <c r="G45" s="84">
        <f>IF(C45=$D$28,$E$28)</f>
        <v>10</v>
      </c>
      <c r="H45" s="85">
        <f t="shared" si="2"/>
        <v>9889.1800247958508</v>
      </c>
    </row>
    <row r="46" spans="1:8" s="22" customFormat="1" ht="21" customHeight="1" x14ac:dyDescent="0.3">
      <c r="A46" s="43" t="s">
        <v>105</v>
      </c>
      <c r="B46" s="56">
        <v>3.1358678614467811E-2</v>
      </c>
      <c r="C46" s="44" t="s">
        <v>95</v>
      </c>
      <c r="D46" s="57">
        <f t="shared" ref="D46" si="11">$B$28*B46*$B$29</f>
        <v>1439.3633484040724</v>
      </c>
      <c r="E46" s="65">
        <v>25</v>
      </c>
      <c r="F46" s="125">
        <f t="shared" si="1"/>
        <v>113.63636363636364</v>
      </c>
      <c r="G46" s="84">
        <f>IF(C46=$D$27,$E$27)</f>
        <v>30</v>
      </c>
      <c r="H46" s="85">
        <f t="shared" si="2"/>
        <v>120383.11641197697</v>
      </c>
    </row>
    <row r="47" spans="1:8" s="22" customFormat="1" ht="21" customHeight="1" x14ac:dyDescent="0.3">
      <c r="A47" s="43"/>
      <c r="B47" s="56">
        <f>B46</f>
        <v>3.1358678614467811E-2</v>
      </c>
      <c r="C47" s="52" t="s">
        <v>99</v>
      </c>
      <c r="D47" s="57">
        <f t="shared" ref="D47" si="12">$B$28*B46*(1-$B$29)</f>
        <v>254.00529677718933</v>
      </c>
      <c r="E47" s="65">
        <v>6</v>
      </c>
      <c r="F47" s="125">
        <f t="shared" si="1"/>
        <v>27.272727272727273</v>
      </c>
      <c r="G47" s="84">
        <f>IF(C47=$D$28,$E$28)</f>
        <v>10</v>
      </c>
      <c r="H47" s="85">
        <f t="shared" si="2"/>
        <v>4387.3642170605435</v>
      </c>
    </row>
    <row r="48" spans="1:8" s="22" customFormat="1" ht="21" customHeight="1" x14ac:dyDescent="0.3">
      <c r="A48" s="43" t="s">
        <v>107</v>
      </c>
      <c r="B48" s="58">
        <f>(2-SUM(B32:B47))/2</f>
        <v>0.36541929107875393</v>
      </c>
      <c r="C48" s="44" t="s">
        <v>95</v>
      </c>
      <c r="D48" s="57">
        <f t="shared" ref="D48" si="13">$B$28*B48*$B$29</f>
        <v>16772.745460514805</v>
      </c>
      <c r="E48" s="65">
        <v>35</v>
      </c>
      <c r="F48" s="125">
        <f t="shared" si="1"/>
        <v>159.09090909090909</v>
      </c>
      <c r="G48" s="84">
        <f>IF(C48=$D$27,$E$27)</f>
        <v>30</v>
      </c>
      <c r="H48" s="85">
        <f t="shared" si="2"/>
        <v>2165208.9594482747</v>
      </c>
    </row>
    <row r="49" spans="1:8" s="22" customFormat="1" ht="21" customHeight="1" x14ac:dyDescent="0.3">
      <c r="A49" s="43"/>
      <c r="B49" s="56">
        <f>B48</f>
        <v>0.36541929107875393</v>
      </c>
      <c r="C49" s="52" t="s">
        <v>99</v>
      </c>
      <c r="D49" s="57">
        <f t="shared" ref="D49" si="14">$B$28*B48*(1-$B$29)</f>
        <v>2959.896257737907</v>
      </c>
      <c r="E49" s="65">
        <v>8</v>
      </c>
      <c r="F49" s="125">
        <f t="shared" si="1"/>
        <v>36.363636363636367</v>
      </c>
      <c r="G49" s="84">
        <f>IF(C49=$D$28,$E$28)</f>
        <v>10</v>
      </c>
      <c r="H49" s="85">
        <f t="shared" si="2"/>
        <v>78033.628613090288</v>
      </c>
    </row>
    <row r="50" spans="1:8" s="22" customFormat="1" ht="21" customHeight="1" x14ac:dyDescent="0.3">
      <c r="A50" s="68" t="s">
        <v>61</v>
      </c>
      <c r="B50" s="47"/>
      <c r="C50" s="46" t="s">
        <v>83</v>
      </c>
      <c r="D50" s="126">
        <f>SUM(D32:D49)</f>
        <v>46441.267125152917</v>
      </c>
      <c r="E50" s="66" t="s">
        <v>83</v>
      </c>
      <c r="F50" s="125"/>
      <c r="G50" s="38"/>
      <c r="H50" s="85">
        <f t="shared" si="2"/>
        <v>0</v>
      </c>
    </row>
    <row r="51" spans="1:8" s="22" customFormat="1" ht="21" customHeight="1" x14ac:dyDescent="0.3">
      <c r="A51" s="38" t="s">
        <v>86</v>
      </c>
      <c r="B51" s="67">
        <f>B25*B26</f>
        <v>180000</v>
      </c>
      <c r="E51" s="17"/>
      <c r="F51" s="125"/>
    </row>
    <row r="52" spans="1:8" s="22" customFormat="1" ht="21" customHeight="1" x14ac:dyDescent="0.3">
      <c r="A52" s="69" t="s">
        <v>87</v>
      </c>
      <c r="B52" s="67">
        <f>B51+H50</f>
        <v>180000</v>
      </c>
      <c r="E52" s="17"/>
      <c r="F52" s="125"/>
    </row>
    <row r="53" spans="1:8" s="22" customFormat="1" ht="21" customHeight="1" x14ac:dyDescent="0.3">
      <c r="A53" s="25"/>
      <c r="B53" s="59"/>
      <c r="E53" s="17"/>
    </row>
    <row r="54" spans="1:8" s="22" customFormat="1" ht="21" customHeight="1" x14ac:dyDescent="0.3">
      <c r="A54" s="70" t="s">
        <v>89</v>
      </c>
      <c r="B54" s="71">
        <v>-240000</v>
      </c>
      <c r="C54" s="14" t="s">
        <v>64</v>
      </c>
      <c r="E54" s="17"/>
    </row>
    <row r="55" spans="1:8" s="22" customFormat="1" ht="21" customHeight="1" x14ac:dyDescent="0.3">
      <c r="A55" s="70" t="s">
        <v>88</v>
      </c>
      <c r="B55" s="71">
        <v>-540000</v>
      </c>
      <c r="C55" s="14" t="s">
        <v>65</v>
      </c>
      <c r="E55" s="17"/>
    </row>
    <row r="56" spans="1:8" s="22" customFormat="1" ht="21" customHeight="1" x14ac:dyDescent="0.3">
      <c r="A56" s="70" t="s">
        <v>90</v>
      </c>
      <c r="B56" s="71">
        <f>-300*5*365*2</f>
        <v>-1095000</v>
      </c>
      <c r="C56" s="14" t="s">
        <v>66</v>
      </c>
      <c r="E56" s="17"/>
    </row>
    <row r="57" spans="1:8" s="22" customFormat="1" ht="21" customHeight="1" x14ac:dyDescent="0.3">
      <c r="A57" s="38" t="s">
        <v>92</v>
      </c>
      <c r="B57" s="67"/>
      <c r="C57" s="22" t="s">
        <v>122</v>
      </c>
      <c r="E57" s="17"/>
    </row>
    <row r="58" spans="1:8" s="22" customFormat="1" ht="21" customHeight="1" x14ac:dyDescent="0.3">
      <c r="E58" s="17"/>
    </row>
    <row r="59" spans="1:8" ht="19" customHeight="1" x14ac:dyDescent="0.3">
      <c r="A59" s="72" t="s">
        <v>108</v>
      </c>
      <c r="B59" s="73">
        <f>SUM(B52:B57)</f>
        <v>-1695000</v>
      </c>
    </row>
    <row r="60" spans="1:8" ht="19" customHeight="1" x14ac:dyDescent="0.3"/>
    <row r="61" spans="1:8" ht="19" customHeight="1" x14ac:dyDescent="0.3"/>
    <row r="62" spans="1:8" ht="19" customHeight="1" x14ac:dyDescent="0.3"/>
    <row r="63" spans="1:8" ht="19" customHeight="1" x14ac:dyDescent="0.3"/>
    <row r="64" spans="1:8" ht="19" customHeight="1" x14ac:dyDescent="0.3"/>
    <row r="65" spans="1:5" ht="19" customHeight="1" x14ac:dyDescent="0.3">
      <c r="A65" s="26"/>
    </row>
    <row r="66" spans="1:5" ht="19" customHeight="1" x14ac:dyDescent="0.3">
      <c r="A66" s="26"/>
      <c r="B66" s="21"/>
      <c r="E66" s="15"/>
    </row>
    <row r="67" spans="1:5" ht="19" customHeight="1" x14ac:dyDescent="0.3">
      <c r="A67" s="26"/>
    </row>
  </sheetData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E1C8-17CA-49D3-93BA-FBEDD6C3A093}">
  <sheetPr>
    <outlinePr summaryBelow="0" summaryRight="0"/>
  </sheetPr>
  <dimension ref="A1:H67"/>
  <sheetViews>
    <sheetView zoomScaleNormal="100" workbookViewId="0">
      <selection activeCell="D20" sqref="D20"/>
    </sheetView>
  </sheetViews>
  <sheetFormatPr defaultColWidth="14" defaultRowHeight="11.5" x14ac:dyDescent="0.3"/>
  <cols>
    <col min="1" max="1" width="27" style="22" customWidth="1"/>
    <col min="2" max="2" width="14.54296875" style="20" customWidth="1"/>
    <col min="3" max="3" width="27.1796875" style="20" bestFit="1" customWidth="1"/>
    <col min="4" max="4" width="26" style="20" customWidth="1"/>
    <col min="5" max="5" width="43.54296875" style="16" customWidth="1"/>
    <col min="6" max="6" width="56" style="20" bestFit="1" customWidth="1"/>
    <col min="7" max="7" width="17.453125" style="20" customWidth="1"/>
    <col min="8" max="17" width="12" style="20" customWidth="1"/>
    <col min="18" max="18" width="17" style="20" customWidth="1"/>
    <col min="19" max="16384" width="14" style="20"/>
  </cols>
  <sheetData>
    <row r="1" spans="1:6" ht="21" customHeight="1" x14ac:dyDescent="0.3">
      <c r="A1" s="22" t="s">
        <v>120</v>
      </c>
      <c r="B1" s="27">
        <v>0.95</v>
      </c>
    </row>
    <row r="2" spans="1:6" ht="21" customHeight="1" x14ac:dyDescent="0.3">
      <c r="A2" s="22" t="s">
        <v>121</v>
      </c>
      <c r="B2" s="130">
        <v>0.05</v>
      </c>
    </row>
    <row r="3" spans="1:6" ht="21" customHeight="1" thickBot="1" x14ac:dyDescent="0.35">
      <c r="A3" s="22" t="s">
        <v>110</v>
      </c>
      <c r="B3" s="139">
        <v>0.04</v>
      </c>
      <c r="D3" s="27"/>
      <c r="E3" s="121"/>
    </row>
    <row r="4" spans="1:6" ht="21" customHeight="1" x14ac:dyDescent="0.3">
      <c r="A4" s="91" t="s">
        <v>72</v>
      </c>
      <c r="B4" s="92" t="s">
        <v>51</v>
      </c>
      <c r="C4" s="93" t="s">
        <v>52</v>
      </c>
      <c r="D4" s="94" t="s">
        <v>53</v>
      </c>
      <c r="E4" s="94" t="s">
        <v>129</v>
      </c>
      <c r="F4" s="95" t="s">
        <v>46</v>
      </c>
    </row>
    <row r="5" spans="1:6" ht="21" customHeight="1" x14ac:dyDescent="0.25">
      <c r="A5" s="96" t="s">
        <v>54</v>
      </c>
      <c r="B5" s="75">
        <f>B16*B1</f>
        <v>142500000</v>
      </c>
      <c r="C5" s="29">
        <f>B3*85%*5%+B3*95%</f>
        <v>3.9699999999999999E-2</v>
      </c>
      <c r="D5" s="30">
        <f>B5*C5</f>
        <v>5657250</v>
      </c>
      <c r="E5" s="90">
        <f>D5/$B$16</f>
        <v>3.7714999999999999E-2</v>
      </c>
      <c r="F5" s="97" t="s">
        <v>115</v>
      </c>
    </row>
    <row r="6" spans="1:6" ht="21" customHeight="1" x14ac:dyDescent="0.25">
      <c r="A6" s="98" t="s">
        <v>112</v>
      </c>
      <c r="B6" s="75">
        <f>(B16-B5)*10%</f>
        <v>750000</v>
      </c>
      <c r="C6" s="29">
        <v>0.05</v>
      </c>
      <c r="D6" s="30">
        <f>B6*C6</f>
        <v>37500</v>
      </c>
      <c r="E6" s="90">
        <f t="shared" ref="E6:E18" si="0">D6/$B$16</f>
        <v>2.5000000000000001E-4</v>
      </c>
      <c r="F6" s="97" t="s">
        <v>116</v>
      </c>
    </row>
    <row r="7" spans="1:6" ht="21" customHeight="1" x14ac:dyDescent="0.25">
      <c r="A7" s="98" t="s">
        <v>111</v>
      </c>
      <c r="B7" s="76">
        <f>(B16-B5)*90%</f>
        <v>6750000</v>
      </c>
      <c r="C7" s="31">
        <v>0.12</v>
      </c>
      <c r="D7" s="30">
        <f>B7*C7</f>
        <v>810000</v>
      </c>
      <c r="E7" s="90">
        <f t="shared" si="0"/>
        <v>5.4000000000000003E-3</v>
      </c>
      <c r="F7" s="97" t="s">
        <v>116</v>
      </c>
    </row>
    <row r="8" spans="1:6" ht="21" customHeight="1" x14ac:dyDescent="0.25">
      <c r="A8" s="99" t="s">
        <v>55</v>
      </c>
      <c r="B8" s="32"/>
      <c r="C8" s="32"/>
      <c r="D8" s="30">
        <f>100000/3</f>
        <v>33333.333333333336</v>
      </c>
      <c r="E8" s="90">
        <f t="shared" si="0"/>
        <v>2.2222222222222223E-4</v>
      </c>
      <c r="F8" s="100"/>
    </row>
    <row r="9" spans="1:6" ht="21" customHeight="1" x14ac:dyDescent="0.25">
      <c r="A9" s="96" t="s">
        <v>77</v>
      </c>
      <c r="B9" s="32"/>
      <c r="C9" s="32"/>
      <c r="D9" s="129"/>
      <c r="E9" s="127">
        <f t="shared" si="0"/>
        <v>0</v>
      </c>
      <c r="F9" s="100"/>
    </row>
    <row r="10" spans="1:6" ht="21" customHeight="1" x14ac:dyDescent="0.25">
      <c r="A10" s="99" t="s">
        <v>56</v>
      </c>
      <c r="B10" s="32"/>
      <c r="C10" s="32"/>
      <c r="D10" s="30">
        <f>1800000*1.44%*300*10%/3</f>
        <v>259200</v>
      </c>
      <c r="E10" s="90">
        <f t="shared" si="0"/>
        <v>1.7279999999999999E-3</v>
      </c>
      <c r="F10" s="97" t="s">
        <v>57</v>
      </c>
    </row>
    <row r="11" spans="1:6" ht="36" customHeight="1" x14ac:dyDescent="0.25">
      <c r="A11" s="101" t="s">
        <v>68</v>
      </c>
      <c r="B11" s="33"/>
      <c r="C11" s="33"/>
      <c r="D11" s="34">
        <f>69091*1.5*15%*350*(10%-4.5%)/3</f>
        <v>99750.131249999991</v>
      </c>
      <c r="E11" s="90">
        <f t="shared" si="0"/>
        <v>6.6500087499999998E-4</v>
      </c>
      <c r="F11" s="114" t="s">
        <v>69</v>
      </c>
    </row>
    <row r="12" spans="1:6" ht="25.75" customHeight="1" thickBot="1" x14ac:dyDescent="0.3">
      <c r="A12" s="102" t="s">
        <v>59</v>
      </c>
      <c r="B12" s="103"/>
      <c r="C12" s="103"/>
      <c r="D12" s="104">
        <v>0</v>
      </c>
      <c r="E12" s="105">
        <f t="shared" si="0"/>
        <v>0</v>
      </c>
      <c r="F12" s="106" t="s">
        <v>60</v>
      </c>
    </row>
    <row r="13" spans="1:6" ht="21" customHeight="1" thickBot="1" x14ac:dyDescent="0.35">
      <c r="B13" s="22"/>
      <c r="C13" s="22"/>
      <c r="D13" s="22"/>
      <c r="E13" s="89"/>
    </row>
    <row r="14" spans="1:6" ht="21" customHeight="1" x14ac:dyDescent="0.3">
      <c r="A14" s="91" t="s">
        <v>73</v>
      </c>
      <c r="B14" s="92" t="s">
        <v>51</v>
      </c>
      <c r="C14" s="93" t="s">
        <v>124</v>
      </c>
      <c r="D14" s="107" t="s">
        <v>74</v>
      </c>
      <c r="E14" s="94" t="s">
        <v>129</v>
      </c>
      <c r="F14" s="95" t="s">
        <v>46</v>
      </c>
    </row>
    <row r="15" spans="1:6" ht="21" customHeight="1" x14ac:dyDescent="0.25">
      <c r="A15" s="99" t="s">
        <v>67</v>
      </c>
      <c r="B15" s="32"/>
      <c r="C15" s="32"/>
      <c r="D15" s="75">
        <f>-1800000*0.8/3</f>
        <v>-480000</v>
      </c>
      <c r="E15" s="90">
        <f t="shared" si="0"/>
        <v>-3.2000000000000002E-3</v>
      </c>
      <c r="F15" s="111" t="s">
        <v>58</v>
      </c>
    </row>
    <row r="16" spans="1:6" ht="21" customHeight="1" x14ac:dyDescent="0.25">
      <c r="A16" s="117" t="s">
        <v>132</v>
      </c>
      <c r="B16" s="28">
        <f>450000000/3</f>
        <v>150000000</v>
      </c>
      <c r="C16" s="116">
        <f>-2%/2</f>
        <v>-0.01</v>
      </c>
      <c r="D16" s="75">
        <f>B16*C16</f>
        <v>-1500000</v>
      </c>
      <c r="E16" s="90">
        <f t="shared" si="0"/>
        <v>-0.01</v>
      </c>
      <c r="F16" s="111" t="s">
        <v>76</v>
      </c>
    </row>
    <row r="17" spans="1:8" s="22" customFormat="1" ht="21" customHeight="1" x14ac:dyDescent="0.3">
      <c r="A17" s="108" t="s">
        <v>70</v>
      </c>
      <c r="B17" s="123">
        <f>B7</f>
        <v>6750000</v>
      </c>
      <c r="C17" s="39">
        <v>-1.2E-2</v>
      </c>
      <c r="D17" s="119">
        <f>B17*C17</f>
        <v>-81000</v>
      </c>
      <c r="E17" s="90">
        <f t="shared" si="0"/>
        <v>-5.4000000000000001E-4</v>
      </c>
      <c r="F17" s="100"/>
    </row>
    <row r="18" spans="1:8" s="22" customFormat="1" ht="21" customHeight="1" thickBot="1" x14ac:dyDescent="0.35">
      <c r="A18" s="109" t="s">
        <v>71</v>
      </c>
      <c r="B18" s="124">
        <f>B7</f>
        <v>6750000</v>
      </c>
      <c r="C18" s="110">
        <v>-0.03</v>
      </c>
      <c r="D18" s="120">
        <f>B18*C18</f>
        <v>-202500</v>
      </c>
      <c r="E18" s="105">
        <f t="shared" si="0"/>
        <v>-1.3500000000000001E-3</v>
      </c>
      <c r="F18" s="112"/>
    </row>
    <row r="19" spans="1:8" s="22" customFormat="1" ht="21" customHeight="1" thickBot="1" x14ac:dyDescent="0.35">
      <c r="A19" s="36"/>
      <c r="B19" s="37"/>
      <c r="C19" s="37"/>
      <c r="D19" s="37"/>
      <c r="F19" s="18"/>
    </row>
    <row r="20" spans="1:8" s="22" customFormat="1" ht="21" customHeight="1" thickBot="1" x14ac:dyDescent="0.35">
      <c r="A20" s="40" t="s">
        <v>75</v>
      </c>
      <c r="B20" s="41"/>
      <c r="C20" s="41"/>
      <c r="D20" s="42">
        <f>SUM(D5:D18)/B16</f>
        <v>3.0890223097222218E-2</v>
      </c>
      <c r="F20" s="17"/>
    </row>
    <row r="21" spans="1:8" s="22" customFormat="1" ht="21" customHeight="1" x14ac:dyDescent="0.3">
      <c r="A21" s="35"/>
      <c r="B21" s="23"/>
      <c r="C21" s="24"/>
      <c r="D21" s="23"/>
      <c r="E21" s="136" t="s">
        <v>79</v>
      </c>
      <c r="F21" s="136" t="s">
        <v>130</v>
      </c>
      <c r="G21" s="136" t="s">
        <v>131</v>
      </c>
      <c r="H21" s="136" t="s">
        <v>77</v>
      </c>
    </row>
    <row r="22" spans="1:8" s="22" customFormat="1" ht="21" customHeight="1" x14ac:dyDescent="0.3">
      <c r="A22" s="35"/>
      <c r="B22" s="23"/>
      <c r="C22" s="24"/>
      <c r="D22" s="23"/>
      <c r="E22" s="140">
        <v>0.3</v>
      </c>
      <c r="F22" s="137">
        <v>1772977</v>
      </c>
      <c r="G22" s="137">
        <v>1430461</v>
      </c>
      <c r="H22" s="138">
        <f>F22-G22</f>
        <v>342516</v>
      </c>
    </row>
    <row r="23" spans="1:8" s="22" customFormat="1" ht="21" customHeight="1" x14ac:dyDescent="0.3">
      <c r="A23" s="35"/>
      <c r="B23" s="62"/>
      <c r="C23" s="23"/>
      <c r="D23" s="23"/>
      <c r="E23" s="141">
        <v>0.22</v>
      </c>
    </row>
    <row r="24" spans="1:8" s="22" customFormat="1" ht="21" customHeight="1" x14ac:dyDescent="0.3">
      <c r="A24" s="60" t="s">
        <v>78</v>
      </c>
      <c r="B24" s="32"/>
      <c r="C24" s="61"/>
      <c r="D24" s="23"/>
      <c r="E24" s="19"/>
    </row>
    <row r="25" spans="1:8" s="22" customFormat="1" ht="21" customHeight="1" x14ac:dyDescent="0.3">
      <c r="A25" s="38" t="s">
        <v>96</v>
      </c>
      <c r="B25" s="63">
        <f>1800000*25%</f>
        <v>450000</v>
      </c>
      <c r="C25" s="61"/>
      <c r="D25" s="23"/>
      <c r="E25" s="19"/>
    </row>
    <row r="26" spans="1:8" s="22" customFormat="1" ht="21" customHeight="1" x14ac:dyDescent="0.3">
      <c r="A26" s="38" t="s">
        <v>79</v>
      </c>
      <c r="B26" s="64">
        <v>0.4</v>
      </c>
      <c r="C26" s="61" t="s">
        <v>114</v>
      </c>
      <c r="D26" s="113"/>
      <c r="E26" s="88" t="s">
        <v>118</v>
      </c>
    </row>
    <row r="27" spans="1:8" s="22" customFormat="1" ht="21" customHeight="1" x14ac:dyDescent="0.3">
      <c r="A27" s="38" t="s">
        <v>97</v>
      </c>
      <c r="B27" s="122">
        <v>0.3</v>
      </c>
      <c r="C27" s="48" t="s">
        <v>113</v>
      </c>
      <c r="D27" s="32" t="s">
        <v>95</v>
      </c>
      <c r="E27" s="88">
        <v>30</v>
      </c>
    </row>
    <row r="28" spans="1:8" s="22" customFormat="1" ht="21" customHeight="1" x14ac:dyDescent="0.3">
      <c r="A28" s="38" t="s">
        <v>98</v>
      </c>
      <c r="B28" s="32">
        <f>B25*B26*B27</f>
        <v>54000</v>
      </c>
      <c r="C28" s="48"/>
      <c r="D28" s="32" t="s">
        <v>99</v>
      </c>
      <c r="E28" s="88">
        <v>10</v>
      </c>
    </row>
    <row r="29" spans="1:8" s="22" customFormat="1" ht="21" customHeight="1" x14ac:dyDescent="0.3">
      <c r="A29" s="77" t="s">
        <v>94</v>
      </c>
      <c r="B29" s="78">
        <v>0.85</v>
      </c>
      <c r="C29" s="79" t="s">
        <v>114</v>
      </c>
      <c r="D29" s="87"/>
      <c r="E29" s="49"/>
      <c r="F29" s="80"/>
      <c r="G29" s="80"/>
    </row>
    <row r="30" spans="1:8" s="22" customFormat="1" ht="21" customHeight="1" x14ac:dyDescent="0.3">
      <c r="A30" s="77"/>
      <c r="B30" s="78"/>
      <c r="C30" s="118"/>
      <c r="D30" s="118"/>
      <c r="E30" s="49"/>
      <c r="F30" s="80"/>
      <c r="G30" s="80"/>
    </row>
    <row r="31" spans="1:8" s="22" customFormat="1" ht="21" customHeight="1" x14ac:dyDescent="0.3">
      <c r="A31" s="86" t="s">
        <v>80</v>
      </c>
      <c r="B31" s="86" t="s">
        <v>81</v>
      </c>
      <c r="C31" s="86" t="s">
        <v>82</v>
      </c>
      <c r="D31" s="86" t="s">
        <v>85</v>
      </c>
      <c r="E31" s="86" t="s">
        <v>123</v>
      </c>
      <c r="F31" s="86" t="s">
        <v>84</v>
      </c>
      <c r="G31" s="38" t="s">
        <v>100</v>
      </c>
      <c r="H31" s="38" t="s">
        <v>91</v>
      </c>
    </row>
    <row r="32" spans="1:8" s="22" customFormat="1" ht="21" customHeight="1" x14ac:dyDescent="0.3">
      <c r="A32" s="53" t="s">
        <v>93</v>
      </c>
      <c r="B32" s="81">
        <v>0.23</v>
      </c>
      <c r="C32" s="54" t="s">
        <v>95</v>
      </c>
      <c r="D32" s="82">
        <f>$B$28*B32*$B$29</f>
        <v>10557</v>
      </c>
      <c r="E32" s="83">
        <v>80</v>
      </c>
      <c r="F32" s="125">
        <f>E32/0.22</f>
        <v>363.63636363636363</v>
      </c>
      <c r="G32" s="84">
        <f>IF(C32=$D$27,$E$27)</f>
        <v>30</v>
      </c>
      <c r="H32" s="85">
        <f>(F32-G32)*D32</f>
        <v>3522199.0909090908</v>
      </c>
    </row>
    <row r="33" spans="1:8" s="22" customFormat="1" ht="21" customHeight="1" x14ac:dyDescent="0.3">
      <c r="A33" s="50"/>
      <c r="B33" s="51">
        <f>B32</f>
        <v>0.23</v>
      </c>
      <c r="C33" s="52" t="s">
        <v>99</v>
      </c>
      <c r="D33" s="45">
        <f>$B$28*B32*(1-$B$29)</f>
        <v>1863.0000000000002</v>
      </c>
      <c r="E33" s="65">
        <v>39</v>
      </c>
      <c r="F33" s="125">
        <f t="shared" ref="F33:F49" si="1">E33/0.22</f>
        <v>177.27272727272728</v>
      </c>
      <c r="G33" s="84">
        <f>IF(C33=$D$28,$E$28)</f>
        <v>10</v>
      </c>
      <c r="H33" s="85">
        <f t="shared" ref="H33:H50" si="2">(F33-G33)*D33</f>
        <v>311629.09090909094</v>
      </c>
    </row>
    <row r="34" spans="1:8" s="22" customFormat="1" ht="21" customHeight="1" x14ac:dyDescent="0.3">
      <c r="A34" s="115" t="s">
        <v>119</v>
      </c>
      <c r="B34" s="56">
        <v>0.13997757159029112</v>
      </c>
      <c r="C34" s="44" t="s">
        <v>95</v>
      </c>
      <c r="D34" s="57">
        <f t="shared" ref="D34" si="3">$B$26*B34*$B$27</f>
        <v>1.6797308590834933E-2</v>
      </c>
      <c r="E34" s="65">
        <v>35</v>
      </c>
      <c r="F34" s="125">
        <f t="shared" si="1"/>
        <v>159.09090909090909</v>
      </c>
      <c r="G34" s="84">
        <f>IF(C34=$D$27,$E$27)</f>
        <v>30</v>
      </c>
      <c r="H34" s="85">
        <f t="shared" si="2"/>
        <v>2.1683798362714186</v>
      </c>
    </row>
    <row r="35" spans="1:8" s="22" customFormat="1" ht="21" customHeight="1" x14ac:dyDescent="0.3">
      <c r="A35" s="50"/>
      <c r="B35" s="56">
        <f>B34</f>
        <v>0.13997757159029112</v>
      </c>
      <c r="C35" s="52" t="s">
        <v>99</v>
      </c>
      <c r="D35" s="57">
        <f t="shared" ref="D35" si="4">$B$26*B34*(1-$B$27)</f>
        <v>3.9193720045281509E-2</v>
      </c>
      <c r="E35" s="65">
        <v>20</v>
      </c>
      <c r="F35" s="125">
        <f t="shared" si="1"/>
        <v>90.909090909090907</v>
      </c>
      <c r="G35" s="84">
        <f>IF(C35=$D$28,$E$28)</f>
        <v>10</v>
      </c>
      <c r="H35" s="85">
        <f t="shared" si="2"/>
        <v>3.1711282582091402</v>
      </c>
    </row>
    <row r="36" spans="1:8" s="22" customFormat="1" ht="21" customHeight="1" x14ac:dyDescent="0.3">
      <c r="A36" s="55" t="s">
        <v>106</v>
      </c>
      <c r="B36" s="56">
        <v>0.10890501471557403</v>
      </c>
      <c r="C36" s="44" t="s">
        <v>95</v>
      </c>
      <c r="D36" s="57">
        <f>$B$28*B36*$B$29</f>
        <v>4998.7401754448483</v>
      </c>
      <c r="E36" s="65">
        <v>0</v>
      </c>
      <c r="F36" s="125">
        <f t="shared" si="1"/>
        <v>0</v>
      </c>
      <c r="G36" s="38">
        <v>0</v>
      </c>
      <c r="H36" s="85">
        <f t="shared" si="2"/>
        <v>0</v>
      </c>
    </row>
    <row r="37" spans="1:8" s="22" customFormat="1" ht="21" customHeight="1" x14ac:dyDescent="0.3">
      <c r="A37" s="55"/>
      <c r="B37" s="56">
        <f>B36</f>
        <v>0.10890501471557403</v>
      </c>
      <c r="C37" s="52" t="s">
        <v>99</v>
      </c>
      <c r="D37" s="57">
        <f>$B$28*B36*(1-$B$29)</f>
        <v>882.13061919614984</v>
      </c>
      <c r="E37" s="65">
        <v>0</v>
      </c>
      <c r="F37" s="125">
        <f t="shared" si="1"/>
        <v>0</v>
      </c>
      <c r="G37" s="38">
        <v>0</v>
      </c>
      <c r="H37" s="85">
        <f t="shared" si="2"/>
        <v>0</v>
      </c>
    </row>
    <row r="38" spans="1:8" s="22" customFormat="1" ht="21" customHeight="1" x14ac:dyDescent="0.3">
      <c r="A38" s="55" t="s">
        <v>101</v>
      </c>
      <c r="B38" s="56">
        <v>1.7576183312764917E-2</v>
      </c>
      <c r="C38" s="44" t="s">
        <v>95</v>
      </c>
      <c r="D38" s="57">
        <f>$B$28*B38*$B$29</f>
        <v>806.74681405590957</v>
      </c>
      <c r="E38" s="65">
        <v>100</v>
      </c>
      <c r="F38" s="125">
        <f t="shared" si="1"/>
        <v>454.54545454545456</v>
      </c>
      <c r="G38" s="84">
        <f>IF(C38=$D$27,$E$27)</f>
        <v>30</v>
      </c>
      <c r="H38" s="85">
        <f t="shared" si="2"/>
        <v>342500.69287646346</v>
      </c>
    </row>
    <row r="39" spans="1:8" s="22" customFormat="1" ht="21" customHeight="1" x14ac:dyDescent="0.3">
      <c r="A39" s="55"/>
      <c r="B39" s="56">
        <f>B38</f>
        <v>1.7576183312764917E-2</v>
      </c>
      <c r="C39" s="52" t="s">
        <v>99</v>
      </c>
      <c r="D39" s="57">
        <f>$B$28*B38*(1-$B$29)</f>
        <v>142.36708483339584</v>
      </c>
      <c r="E39" s="65">
        <v>21</v>
      </c>
      <c r="F39" s="125">
        <f t="shared" si="1"/>
        <v>95.454545454545453</v>
      </c>
      <c r="G39" s="84">
        <f>IF(C39=$D$28,$E$28)</f>
        <v>10</v>
      </c>
      <c r="H39" s="85">
        <f t="shared" si="2"/>
        <v>12165.914522126553</v>
      </c>
    </row>
    <row r="40" spans="1:8" s="22" customFormat="1" ht="21" customHeight="1" x14ac:dyDescent="0.3">
      <c r="A40" s="55" t="s">
        <v>102</v>
      </c>
      <c r="B40" s="56">
        <v>3.0276897059390639E-2</v>
      </c>
      <c r="C40" s="44" t="s">
        <v>95</v>
      </c>
      <c r="D40" s="57">
        <f t="shared" ref="D40" si="5">$B$28*B40*$B$29</f>
        <v>1389.7095750260303</v>
      </c>
      <c r="E40" s="65">
        <v>50</v>
      </c>
      <c r="F40" s="125">
        <f t="shared" si="1"/>
        <v>227.27272727272728</v>
      </c>
      <c r="G40" s="84">
        <f>IF(C40=$D$27,$E$27)</f>
        <v>30</v>
      </c>
      <c r="H40" s="85">
        <f t="shared" si="2"/>
        <v>274151.79798240779</v>
      </c>
    </row>
    <row r="41" spans="1:8" s="22" customFormat="1" ht="21" customHeight="1" x14ac:dyDescent="0.3">
      <c r="A41" s="38"/>
      <c r="B41" s="56">
        <f>B40</f>
        <v>3.0276897059390639E-2</v>
      </c>
      <c r="C41" s="52" t="s">
        <v>99</v>
      </c>
      <c r="D41" s="57">
        <f t="shared" ref="D41" si="6">$B$28*B40*(1-$B$29)</f>
        <v>245.24286618106422</v>
      </c>
      <c r="E41" s="65">
        <v>7</v>
      </c>
      <c r="F41" s="125">
        <f t="shared" si="1"/>
        <v>31.818181818181817</v>
      </c>
      <c r="G41" s="84">
        <f>IF(C41=$D$28,$E$28)</f>
        <v>10</v>
      </c>
      <c r="H41" s="85">
        <f t="shared" si="2"/>
        <v>5350.7534439504916</v>
      </c>
    </row>
    <row r="42" spans="1:8" s="22" customFormat="1" ht="21" customHeight="1" x14ac:dyDescent="0.3">
      <c r="A42" s="55" t="s">
        <v>103</v>
      </c>
      <c r="B42" s="56">
        <v>3.0176878625456493E-2</v>
      </c>
      <c r="C42" s="44" t="s">
        <v>95</v>
      </c>
      <c r="D42" s="57">
        <f t="shared" ref="D42" si="7">$B$28*B42*$B$29</f>
        <v>1385.118728908453</v>
      </c>
      <c r="E42" s="65">
        <v>40</v>
      </c>
      <c r="F42" s="125">
        <f t="shared" si="1"/>
        <v>181.81818181818181</v>
      </c>
      <c r="G42" s="84">
        <f>IF(C42=$D$27,$E$27)</f>
        <v>30</v>
      </c>
      <c r="H42" s="85">
        <f t="shared" si="2"/>
        <v>210286.20702519242</v>
      </c>
    </row>
    <row r="43" spans="1:8" s="22" customFormat="1" ht="21" customHeight="1" x14ac:dyDescent="0.3">
      <c r="A43" s="53"/>
      <c r="B43" s="56">
        <f>B42</f>
        <v>3.0176878625456493E-2</v>
      </c>
      <c r="C43" s="52" t="s">
        <v>99</v>
      </c>
      <c r="D43" s="57">
        <f t="shared" ref="D43" si="8">$B$28*B42*(1-$B$29)</f>
        <v>244.43271686619761</v>
      </c>
      <c r="E43" s="65">
        <v>14</v>
      </c>
      <c r="F43" s="125">
        <f t="shared" si="1"/>
        <v>63.636363636363633</v>
      </c>
      <c r="G43" s="84">
        <f>IF(C43=$D$28,$E$28)</f>
        <v>10</v>
      </c>
      <c r="H43" s="85">
        <f t="shared" si="2"/>
        <v>13110.48208645969</v>
      </c>
    </row>
    <row r="44" spans="1:8" s="22" customFormat="1" ht="21" customHeight="1" x14ac:dyDescent="0.3">
      <c r="A44" s="43" t="s">
        <v>104</v>
      </c>
      <c r="B44" s="56">
        <v>4.6309485003301121E-2</v>
      </c>
      <c r="C44" s="44" t="s">
        <v>95</v>
      </c>
      <c r="D44" s="57">
        <f t="shared" ref="D44" si="9">$B$28*B44*$B$29</f>
        <v>2125.6053616515214</v>
      </c>
      <c r="E44" s="65">
        <v>16</v>
      </c>
      <c r="F44" s="125">
        <f t="shared" si="1"/>
        <v>72.727272727272734</v>
      </c>
      <c r="G44" s="84">
        <f>IF(C44=$D$27,$E$27)</f>
        <v>30</v>
      </c>
      <c r="H44" s="85">
        <f>(F44-G44)*D44</f>
        <v>90821.319997837752</v>
      </c>
    </row>
    <row r="45" spans="1:8" s="22" customFormat="1" ht="21" customHeight="1" x14ac:dyDescent="0.3">
      <c r="A45" s="43"/>
      <c r="B45" s="56">
        <f>B44</f>
        <v>4.6309485003301121E-2</v>
      </c>
      <c r="C45" s="52" t="s">
        <v>99</v>
      </c>
      <c r="D45" s="57">
        <f t="shared" ref="D45" si="10">$B$28*B44*(1-$B$29)</f>
        <v>375.10682852673915</v>
      </c>
      <c r="E45" s="65">
        <v>8</v>
      </c>
      <c r="F45" s="125">
        <f t="shared" si="1"/>
        <v>36.363636363636367</v>
      </c>
      <c r="G45" s="84">
        <f>IF(C45=$D$28,$E$28)</f>
        <v>10</v>
      </c>
      <c r="H45" s="85">
        <f t="shared" si="2"/>
        <v>9889.1800247958508</v>
      </c>
    </row>
    <row r="46" spans="1:8" s="22" customFormat="1" ht="21" customHeight="1" x14ac:dyDescent="0.3">
      <c r="A46" s="43" t="s">
        <v>105</v>
      </c>
      <c r="B46" s="56">
        <v>3.1358678614467811E-2</v>
      </c>
      <c r="C46" s="44" t="s">
        <v>95</v>
      </c>
      <c r="D46" s="57">
        <f t="shared" ref="D46" si="11">$B$28*B46*$B$29</f>
        <v>1439.3633484040724</v>
      </c>
      <c r="E46" s="65">
        <v>25</v>
      </c>
      <c r="F46" s="125">
        <f t="shared" si="1"/>
        <v>113.63636363636364</v>
      </c>
      <c r="G46" s="84">
        <f>IF(C46=$D$27,$E$27)</f>
        <v>30</v>
      </c>
      <c r="H46" s="85">
        <f t="shared" si="2"/>
        <v>120383.11641197697</v>
      </c>
    </row>
    <row r="47" spans="1:8" s="22" customFormat="1" ht="21" customHeight="1" x14ac:dyDescent="0.3">
      <c r="A47" s="43"/>
      <c r="B47" s="56">
        <f>B46</f>
        <v>3.1358678614467811E-2</v>
      </c>
      <c r="C47" s="52" t="s">
        <v>99</v>
      </c>
      <c r="D47" s="57">
        <f t="shared" ref="D47" si="12">$B$28*B46*(1-$B$29)</f>
        <v>254.00529677718933</v>
      </c>
      <c r="E47" s="65">
        <v>6</v>
      </c>
      <c r="F47" s="125">
        <f t="shared" si="1"/>
        <v>27.272727272727273</v>
      </c>
      <c r="G47" s="84">
        <f>IF(C47=$D$28,$E$28)</f>
        <v>10</v>
      </c>
      <c r="H47" s="85">
        <f t="shared" si="2"/>
        <v>4387.3642170605435</v>
      </c>
    </row>
    <row r="48" spans="1:8" s="22" customFormat="1" ht="21" customHeight="1" x14ac:dyDescent="0.3">
      <c r="A48" s="43" t="s">
        <v>107</v>
      </c>
      <c r="B48" s="58">
        <f>(2-SUM(B32:B47))/2</f>
        <v>0.36541929107875393</v>
      </c>
      <c r="C48" s="44" t="s">
        <v>95</v>
      </c>
      <c r="D48" s="57">
        <f t="shared" ref="D48" si="13">$B$28*B48*$B$29</f>
        <v>16772.745460514805</v>
      </c>
      <c r="E48" s="65">
        <v>35</v>
      </c>
      <c r="F48" s="125">
        <f t="shared" si="1"/>
        <v>159.09090909090909</v>
      </c>
      <c r="G48" s="84">
        <f>IF(C48=$D$27,$E$27)</f>
        <v>30</v>
      </c>
      <c r="H48" s="85">
        <f t="shared" si="2"/>
        <v>2165208.9594482747</v>
      </c>
    </row>
    <row r="49" spans="1:8" s="22" customFormat="1" ht="21" customHeight="1" x14ac:dyDescent="0.3">
      <c r="A49" s="43"/>
      <c r="B49" s="56">
        <f>B48</f>
        <v>0.36541929107875393</v>
      </c>
      <c r="C49" s="52" t="s">
        <v>99</v>
      </c>
      <c r="D49" s="57">
        <f t="shared" ref="D49" si="14">$B$28*B48*(1-$B$29)</f>
        <v>2959.896257737907</v>
      </c>
      <c r="E49" s="65">
        <v>8</v>
      </c>
      <c r="F49" s="125">
        <f t="shared" si="1"/>
        <v>36.363636363636367</v>
      </c>
      <c r="G49" s="84">
        <f>IF(C49=$D$28,$E$28)</f>
        <v>10</v>
      </c>
      <c r="H49" s="85">
        <f t="shared" si="2"/>
        <v>78033.628613090288</v>
      </c>
    </row>
    <row r="50" spans="1:8" s="22" customFormat="1" ht="21" customHeight="1" x14ac:dyDescent="0.3">
      <c r="A50" s="68" t="s">
        <v>61</v>
      </c>
      <c r="B50" s="47"/>
      <c r="C50" s="46" t="s">
        <v>83</v>
      </c>
      <c r="D50" s="126">
        <f>SUM(D32:D49)</f>
        <v>46441.267125152917</v>
      </c>
      <c r="E50" s="66" t="s">
        <v>83</v>
      </c>
      <c r="F50" s="125"/>
      <c r="G50" s="38"/>
      <c r="H50" s="85">
        <f t="shared" si="2"/>
        <v>0</v>
      </c>
    </row>
    <row r="51" spans="1:8" s="22" customFormat="1" ht="21" customHeight="1" x14ac:dyDescent="0.3">
      <c r="A51" s="38" t="s">
        <v>86</v>
      </c>
      <c r="B51" s="67">
        <f>B25*B26</f>
        <v>180000</v>
      </c>
      <c r="E51" s="17"/>
      <c r="F51" s="125"/>
    </row>
    <row r="52" spans="1:8" s="22" customFormat="1" ht="21" customHeight="1" x14ac:dyDescent="0.3">
      <c r="A52" s="69" t="s">
        <v>87</v>
      </c>
      <c r="B52" s="67">
        <f>B51+H50</f>
        <v>180000</v>
      </c>
      <c r="E52" s="17"/>
      <c r="F52" s="125"/>
    </row>
    <row r="53" spans="1:8" s="22" customFormat="1" ht="21" customHeight="1" x14ac:dyDescent="0.3">
      <c r="A53" s="25"/>
      <c r="B53" s="59"/>
      <c r="E53" s="17"/>
    </row>
    <row r="54" spans="1:8" s="22" customFormat="1" ht="21" customHeight="1" x14ac:dyDescent="0.3">
      <c r="A54" s="70" t="s">
        <v>89</v>
      </c>
      <c r="B54" s="71">
        <v>-240000</v>
      </c>
      <c r="C54" s="14" t="s">
        <v>64</v>
      </c>
      <c r="E54" s="17"/>
    </row>
    <row r="55" spans="1:8" s="22" customFormat="1" ht="21" customHeight="1" x14ac:dyDescent="0.3">
      <c r="A55" s="70" t="s">
        <v>88</v>
      </c>
      <c r="B55" s="71">
        <v>-540000</v>
      </c>
      <c r="C55" s="14" t="s">
        <v>65</v>
      </c>
      <c r="E55" s="17"/>
    </row>
    <row r="56" spans="1:8" s="22" customFormat="1" ht="21" customHeight="1" x14ac:dyDescent="0.3">
      <c r="A56" s="70" t="s">
        <v>90</v>
      </c>
      <c r="B56" s="71">
        <f>-300*5*365*2</f>
        <v>-1095000</v>
      </c>
      <c r="C56" s="14" t="s">
        <v>66</v>
      </c>
      <c r="E56" s="17"/>
    </row>
    <row r="57" spans="1:8" s="22" customFormat="1" ht="21" customHeight="1" x14ac:dyDescent="0.3">
      <c r="A57" s="38" t="s">
        <v>92</v>
      </c>
      <c r="B57" s="67"/>
      <c r="C57" s="22" t="s">
        <v>122</v>
      </c>
      <c r="E57" s="17"/>
    </row>
    <row r="58" spans="1:8" s="22" customFormat="1" ht="21" customHeight="1" x14ac:dyDescent="0.3">
      <c r="E58" s="17"/>
    </row>
    <row r="59" spans="1:8" ht="19" customHeight="1" x14ac:dyDescent="0.3">
      <c r="A59" s="72" t="s">
        <v>108</v>
      </c>
      <c r="B59" s="73">
        <f>SUM(B52:B57)</f>
        <v>-1695000</v>
      </c>
    </row>
    <row r="60" spans="1:8" ht="19" customHeight="1" x14ac:dyDescent="0.3"/>
    <row r="61" spans="1:8" ht="19" customHeight="1" x14ac:dyDescent="0.3"/>
    <row r="62" spans="1:8" ht="19" customHeight="1" x14ac:dyDescent="0.3"/>
    <row r="63" spans="1:8" ht="19" customHeight="1" x14ac:dyDescent="0.3"/>
    <row r="64" spans="1:8" ht="19" customHeight="1" x14ac:dyDescent="0.3"/>
    <row r="65" spans="1:5" ht="19" customHeight="1" x14ac:dyDescent="0.3">
      <c r="A65" s="26"/>
    </row>
    <row r="66" spans="1:5" ht="19" customHeight="1" x14ac:dyDescent="0.3">
      <c r="A66" s="26"/>
      <c r="B66" s="21"/>
      <c r="E66" s="15"/>
    </row>
    <row r="67" spans="1:5" ht="19" customHeight="1" x14ac:dyDescent="0.3">
      <c r="A67" s="26"/>
    </row>
  </sheetData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3B20-A93D-46AD-8AE2-D06CB80C951E}">
  <sheetPr>
    <outlinePr summaryBelow="0" summaryRight="0"/>
  </sheetPr>
  <dimension ref="A1:H67"/>
  <sheetViews>
    <sheetView zoomScale="87" zoomScaleNormal="100" workbookViewId="0">
      <selection activeCell="D20" sqref="D20"/>
    </sheetView>
  </sheetViews>
  <sheetFormatPr defaultColWidth="14" defaultRowHeight="11.5" x14ac:dyDescent="0.3"/>
  <cols>
    <col min="1" max="1" width="27" style="22" customWidth="1"/>
    <col min="2" max="2" width="14.54296875" style="20" customWidth="1"/>
    <col min="3" max="3" width="27.1796875" style="20" bestFit="1" customWidth="1"/>
    <col min="4" max="4" width="26" style="20" customWidth="1"/>
    <col min="5" max="5" width="43.54296875" style="16" customWidth="1"/>
    <col min="6" max="6" width="56" style="20" bestFit="1" customWidth="1"/>
    <col min="7" max="7" width="17.453125" style="20" customWidth="1"/>
    <col min="8" max="17" width="12" style="20" customWidth="1"/>
    <col min="18" max="18" width="17" style="20" customWidth="1"/>
    <col min="19" max="16384" width="14" style="20"/>
  </cols>
  <sheetData>
    <row r="1" spans="1:6" ht="21" customHeight="1" x14ac:dyDescent="0.3">
      <c r="A1" s="22" t="s">
        <v>120</v>
      </c>
      <c r="B1" s="27">
        <v>0.95</v>
      </c>
    </row>
    <row r="2" spans="1:6" ht="21" customHeight="1" x14ac:dyDescent="0.3">
      <c r="A2" s="22" t="s">
        <v>121</v>
      </c>
      <c r="B2" s="130">
        <v>0.05</v>
      </c>
    </row>
    <row r="3" spans="1:6" ht="21" customHeight="1" thickBot="1" x14ac:dyDescent="0.35">
      <c r="A3" s="22" t="s">
        <v>110</v>
      </c>
      <c r="B3" s="139">
        <v>0.01</v>
      </c>
      <c r="D3" s="27"/>
      <c r="E3" s="121"/>
    </row>
    <row r="4" spans="1:6" ht="21" customHeight="1" x14ac:dyDescent="0.3">
      <c r="A4" s="91" t="s">
        <v>72</v>
      </c>
      <c r="B4" s="92" t="s">
        <v>51</v>
      </c>
      <c r="C4" s="93" t="s">
        <v>52</v>
      </c>
      <c r="D4" s="94" t="s">
        <v>53</v>
      </c>
      <c r="E4" s="94" t="s">
        <v>129</v>
      </c>
      <c r="F4" s="95" t="s">
        <v>46</v>
      </c>
    </row>
    <row r="5" spans="1:6" ht="21" customHeight="1" x14ac:dyDescent="0.25">
      <c r="A5" s="96" t="s">
        <v>54</v>
      </c>
      <c r="B5" s="75">
        <f>B16*B1</f>
        <v>106875000</v>
      </c>
      <c r="C5" s="29">
        <f>B3*85%*5%+B3*95%</f>
        <v>9.9249999999999998E-3</v>
      </c>
      <c r="D5" s="30">
        <f>B5*C5</f>
        <v>1060734.375</v>
      </c>
      <c r="E5" s="90">
        <f>D5/$B$16</f>
        <v>9.4287499999999996E-3</v>
      </c>
      <c r="F5" s="97" t="s">
        <v>115</v>
      </c>
    </row>
    <row r="6" spans="1:6" ht="21" customHeight="1" x14ac:dyDescent="0.25">
      <c r="A6" s="98" t="s">
        <v>112</v>
      </c>
      <c r="B6" s="75">
        <f>(B16-B5)*10%</f>
        <v>562500</v>
      </c>
      <c r="C6" s="29">
        <v>0.05</v>
      </c>
      <c r="D6" s="30">
        <f>B6*C6</f>
        <v>28125</v>
      </c>
      <c r="E6" s="90">
        <f t="shared" ref="E6:E18" si="0">D6/$B$16</f>
        <v>2.5000000000000001E-4</v>
      </c>
      <c r="F6" s="97" t="s">
        <v>116</v>
      </c>
    </row>
    <row r="7" spans="1:6" ht="21" customHeight="1" x14ac:dyDescent="0.25">
      <c r="A7" s="98" t="s">
        <v>111</v>
      </c>
      <c r="B7" s="76">
        <f>(B16-B5)*90%</f>
        <v>5062500</v>
      </c>
      <c r="C7" s="144">
        <v>0.12</v>
      </c>
      <c r="D7" s="30">
        <f>B7*C7</f>
        <v>607500</v>
      </c>
      <c r="E7" s="90">
        <f t="shared" si="0"/>
        <v>5.4000000000000003E-3</v>
      </c>
      <c r="F7" s="97" t="s">
        <v>116</v>
      </c>
    </row>
    <row r="8" spans="1:6" ht="21" customHeight="1" x14ac:dyDescent="0.25">
      <c r="A8" s="99" t="s">
        <v>55</v>
      </c>
      <c r="B8" s="32"/>
      <c r="C8" s="32"/>
      <c r="D8" s="30">
        <f>100000/4</f>
        <v>25000</v>
      </c>
      <c r="E8" s="90">
        <f t="shared" si="0"/>
        <v>2.2222222222222223E-4</v>
      </c>
      <c r="F8" s="100"/>
    </row>
    <row r="9" spans="1:6" ht="21" customHeight="1" x14ac:dyDescent="0.25">
      <c r="A9" s="96" t="s">
        <v>77</v>
      </c>
      <c r="B9" s="32"/>
      <c r="C9" s="32"/>
      <c r="D9" s="129"/>
      <c r="E9" s="127">
        <f t="shared" si="0"/>
        <v>0</v>
      </c>
      <c r="F9" s="100"/>
    </row>
    <row r="10" spans="1:6" ht="21" customHeight="1" x14ac:dyDescent="0.25">
      <c r="A10" s="99" t="s">
        <v>56</v>
      </c>
      <c r="B10" s="32"/>
      <c r="C10" s="32"/>
      <c r="D10" s="30">
        <f>1800000*1.44%*300*10%/4</f>
        <v>194400</v>
      </c>
      <c r="E10" s="90">
        <f t="shared" si="0"/>
        <v>1.7279999999999999E-3</v>
      </c>
      <c r="F10" s="97" t="s">
        <v>57</v>
      </c>
    </row>
    <row r="11" spans="1:6" ht="36" customHeight="1" x14ac:dyDescent="0.25">
      <c r="A11" s="101" t="s">
        <v>68</v>
      </c>
      <c r="B11" s="33"/>
      <c r="C11" s="33"/>
      <c r="D11" s="34">
        <f>69091*1.5*15%*350*(10%-4.5%)/4</f>
        <v>74812.598437499997</v>
      </c>
      <c r="E11" s="90">
        <f t="shared" si="0"/>
        <v>6.6500087499999998E-4</v>
      </c>
      <c r="F11" s="114" t="s">
        <v>69</v>
      </c>
    </row>
    <row r="12" spans="1:6" ht="25.75" customHeight="1" thickBot="1" x14ac:dyDescent="0.3">
      <c r="A12" s="102" t="s">
        <v>59</v>
      </c>
      <c r="B12" s="103"/>
      <c r="C12" s="103"/>
      <c r="D12" s="104">
        <v>0</v>
      </c>
      <c r="E12" s="105">
        <f t="shared" si="0"/>
        <v>0</v>
      </c>
      <c r="F12" s="106" t="s">
        <v>60</v>
      </c>
    </row>
    <row r="13" spans="1:6" ht="21" customHeight="1" thickBot="1" x14ac:dyDescent="0.35">
      <c r="B13" s="22"/>
      <c r="C13" s="22"/>
      <c r="D13" s="22"/>
      <c r="E13" s="89"/>
    </row>
    <row r="14" spans="1:6" ht="21" customHeight="1" x14ac:dyDescent="0.3">
      <c r="A14" s="91" t="s">
        <v>73</v>
      </c>
      <c r="B14" s="92" t="s">
        <v>51</v>
      </c>
      <c r="C14" s="93" t="s">
        <v>124</v>
      </c>
      <c r="D14" s="107" t="s">
        <v>74</v>
      </c>
      <c r="E14" s="94" t="s">
        <v>129</v>
      </c>
      <c r="F14" s="95" t="s">
        <v>46</v>
      </c>
    </row>
    <row r="15" spans="1:6" ht="21" customHeight="1" x14ac:dyDescent="0.25">
      <c r="A15" s="99" t="s">
        <v>67</v>
      </c>
      <c r="B15" s="32"/>
      <c r="C15" s="32"/>
      <c r="D15" s="75">
        <f>-1800000*0.8/4</f>
        <v>-360000</v>
      </c>
      <c r="E15" s="90">
        <f t="shared" si="0"/>
        <v>-3.2000000000000002E-3</v>
      </c>
      <c r="F15" s="111" t="s">
        <v>58</v>
      </c>
    </row>
    <row r="16" spans="1:6" ht="21" customHeight="1" x14ac:dyDescent="0.25">
      <c r="A16" s="117" t="s">
        <v>109</v>
      </c>
      <c r="B16" s="28">
        <f>450000000/4</f>
        <v>112500000</v>
      </c>
      <c r="C16" s="116">
        <f>-1.5%/2</f>
        <v>-7.4999999999999997E-3</v>
      </c>
      <c r="D16" s="75">
        <f>B16*C16</f>
        <v>-843750</v>
      </c>
      <c r="E16" s="90">
        <f t="shared" si="0"/>
        <v>-7.4999999999999997E-3</v>
      </c>
      <c r="F16" s="111" t="s">
        <v>76</v>
      </c>
    </row>
    <row r="17" spans="1:8" s="22" customFormat="1" ht="21" customHeight="1" x14ac:dyDescent="0.3">
      <c r="A17" s="108" t="s">
        <v>70</v>
      </c>
      <c r="B17" s="123">
        <f>B7</f>
        <v>5062500</v>
      </c>
      <c r="C17" s="39">
        <v>-1.2E-2</v>
      </c>
      <c r="D17" s="119">
        <f>B17*C17</f>
        <v>-60750</v>
      </c>
      <c r="E17" s="90">
        <f t="shared" si="0"/>
        <v>-5.4000000000000001E-4</v>
      </c>
      <c r="F17" s="100"/>
    </row>
    <row r="18" spans="1:8" s="22" customFormat="1" ht="21" customHeight="1" thickBot="1" x14ac:dyDescent="0.35">
      <c r="A18" s="109" t="s">
        <v>71</v>
      </c>
      <c r="B18" s="124">
        <f>B7</f>
        <v>5062500</v>
      </c>
      <c r="C18" s="110">
        <v>-0.03</v>
      </c>
      <c r="D18" s="120">
        <f>B18*C18</f>
        <v>-151875</v>
      </c>
      <c r="E18" s="105">
        <f t="shared" si="0"/>
        <v>-1.3500000000000001E-3</v>
      </c>
      <c r="F18" s="112"/>
    </row>
    <row r="19" spans="1:8" s="22" customFormat="1" ht="21" customHeight="1" thickBot="1" x14ac:dyDescent="0.35">
      <c r="A19" s="36"/>
      <c r="B19" s="37"/>
      <c r="C19" s="37"/>
      <c r="D19" s="37"/>
      <c r="F19" s="18"/>
    </row>
    <row r="20" spans="1:8" s="22" customFormat="1" ht="21" customHeight="1" thickBot="1" x14ac:dyDescent="0.35">
      <c r="A20" s="40" t="s">
        <v>75</v>
      </c>
      <c r="B20" s="41"/>
      <c r="C20" s="41"/>
      <c r="D20" s="42">
        <f>SUM(D5:D18)/B16</f>
        <v>5.103973097222222E-3</v>
      </c>
      <c r="F20" s="17"/>
    </row>
    <row r="21" spans="1:8" s="22" customFormat="1" ht="21" customHeight="1" x14ac:dyDescent="0.3">
      <c r="A21" s="35"/>
      <c r="B21" s="23"/>
      <c r="C21" s="24"/>
      <c r="D21" s="23"/>
      <c r="E21" s="136" t="s">
        <v>79</v>
      </c>
      <c r="F21" s="136" t="s">
        <v>130</v>
      </c>
      <c r="G21" s="136" t="s">
        <v>131</v>
      </c>
      <c r="H21" s="136" t="s">
        <v>77</v>
      </c>
    </row>
    <row r="22" spans="1:8" s="22" customFormat="1" ht="21" customHeight="1" x14ac:dyDescent="0.3">
      <c r="A22" s="35"/>
      <c r="B22" s="23"/>
      <c r="C22" s="24"/>
      <c r="D22" s="23"/>
      <c r="E22" s="140">
        <v>0.3</v>
      </c>
      <c r="F22" s="137">
        <v>1772977</v>
      </c>
      <c r="G22" s="137">
        <v>1430461</v>
      </c>
      <c r="H22" s="138">
        <f>F22-G22</f>
        <v>342516</v>
      </c>
    </row>
    <row r="23" spans="1:8" s="22" customFormat="1" ht="21" customHeight="1" x14ac:dyDescent="0.3">
      <c r="A23" s="35"/>
      <c r="B23" s="62"/>
      <c r="C23" s="23"/>
      <c r="D23" s="23"/>
      <c r="E23" s="19"/>
    </row>
    <row r="24" spans="1:8" s="22" customFormat="1" ht="21" customHeight="1" x14ac:dyDescent="0.3">
      <c r="A24" s="60" t="s">
        <v>78</v>
      </c>
      <c r="B24" s="32"/>
      <c r="C24" s="61"/>
      <c r="D24" s="23"/>
      <c r="E24" s="19"/>
    </row>
    <row r="25" spans="1:8" s="22" customFormat="1" ht="21" customHeight="1" x14ac:dyDescent="0.3">
      <c r="A25" s="38" t="s">
        <v>96</v>
      </c>
      <c r="B25" s="63">
        <f>1800000*25%</f>
        <v>450000</v>
      </c>
      <c r="C25" s="61"/>
      <c r="D25" s="23"/>
      <c r="E25" s="19"/>
    </row>
    <row r="26" spans="1:8" s="22" customFormat="1" ht="21" customHeight="1" x14ac:dyDescent="0.3">
      <c r="A26" s="38" t="s">
        <v>79</v>
      </c>
      <c r="B26" s="64">
        <v>0.4</v>
      </c>
      <c r="C26" s="61" t="s">
        <v>114</v>
      </c>
      <c r="D26" s="113"/>
      <c r="E26" s="88" t="s">
        <v>118</v>
      </c>
    </row>
    <row r="27" spans="1:8" s="22" customFormat="1" ht="21" customHeight="1" x14ac:dyDescent="0.3">
      <c r="A27" s="38" t="s">
        <v>97</v>
      </c>
      <c r="B27" s="122">
        <v>0.3</v>
      </c>
      <c r="C27" s="48" t="s">
        <v>113</v>
      </c>
      <c r="D27" s="32" t="s">
        <v>95</v>
      </c>
      <c r="E27" s="88">
        <v>30</v>
      </c>
    </row>
    <row r="28" spans="1:8" s="22" customFormat="1" ht="21" customHeight="1" x14ac:dyDescent="0.3">
      <c r="A28" s="38" t="s">
        <v>98</v>
      </c>
      <c r="B28" s="32">
        <f>B25*B26*B27</f>
        <v>54000</v>
      </c>
      <c r="C28" s="48"/>
      <c r="D28" s="32" t="s">
        <v>99</v>
      </c>
      <c r="E28" s="88">
        <v>10</v>
      </c>
    </row>
    <row r="29" spans="1:8" s="22" customFormat="1" ht="21" customHeight="1" x14ac:dyDescent="0.3">
      <c r="A29" s="77" t="s">
        <v>94</v>
      </c>
      <c r="B29" s="78">
        <v>0.85</v>
      </c>
      <c r="C29" s="79" t="s">
        <v>114</v>
      </c>
      <c r="D29" s="87"/>
      <c r="E29" s="49"/>
      <c r="F29" s="80"/>
      <c r="G29" s="80"/>
    </row>
    <row r="30" spans="1:8" s="22" customFormat="1" ht="21" customHeight="1" x14ac:dyDescent="0.3">
      <c r="A30" s="77"/>
      <c r="B30" s="78"/>
      <c r="C30" s="118"/>
      <c r="D30" s="118"/>
      <c r="E30" s="49"/>
      <c r="F30" s="80"/>
      <c r="G30" s="80"/>
    </row>
    <row r="31" spans="1:8" s="22" customFormat="1" ht="21" customHeight="1" x14ac:dyDescent="0.3">
      <c r="A31" s="86" t="s">
        <v>80</v>
      </c>
      <c r="B31" s="86" t="s">
        <v>81</v>
      </c>
      <c r="C31" s="86" t="s">
        <v>82</v>
      </c>
      <c r="D31" s="86" t="s">
        <v>85</v>
      </c>
      <c r="E31" s="86" t="s">
        <v>123</v>
      </c>
      <c r="F31" s="86" t="s">
        <v>84</v>
      </c>
      <c r="G31" s="38" t="s">
        <v>100</v>
      </c>
      <c r="H31" s="38" t="s">
        <v>91</v>
      </c>
    </row>
    <row r="32" spans="1:8" s="22" customFormat="1" ht="21" customHeight="1" x14ac:dyDescent="0.3">
      <c r="A32" s="53" t="s">
        <v>93</v>
      </c>
      <c r="B32" s="81">
        <v>0.23</v>
      </c>
      <c r="C32" s="54" t="s">
        <v>95</v>
      </c>
      <c r="D32" s="82">
        <f>$B$28*B32*$B$29</f>
        <v>10557</v>
      </c>
      <c r="E32" s="83">
        <v>80</v>
      </c>
      <c r="F32" s="125">
        <f>E32/0.22</f>
        <v>363.63636363636363</v>
      </c>
      <c r="G32" s="84">
        <f>IF(C32=$D$27,$E$27)</f>
        <v>30</v>
      </c>
      <c r="H32" s="85">
        <f>(F32-G32)*D32</f>
        <v>3522199.0909090908</v>
      </c>
    </row>
    <row r="33" spans="1:8" s="22" customFormat="1" ht="21" customHeight="1" x14ac:dyDescent="0.3">
      <c r="A33" s="50"/>
      <c r="B33" s="51">
        <f>B32</f>
        <v>0.23</v>
      </c>
      <c r="C33" s="52" t="s">
        <v>99</v>
      </c>
      <c r="D33" s="45">
        <f>$B$28*B32*(1-$B$29)</f>
        <v>1863.0000000000002</v>
      </c>
      <c r="E33" s="65">
        <v>39</v>
      </c>
      <c r="F33" s="125">
        <f t="shared" ref="F33:F49" si="1">E33/0.22</f>
        <v>177.27272727272728</v>
      </c>
      <c r="G33" s="84">
        <f>IF(C33=$D$28,$E$28)</f>
        <v>10</v>
      </c>
      <c r="H33" s="85">
        <f t="shared" ref="H33:H50" si="2">(F33-G33)*D33</f>
        <v>311629.09090909094</v>
      </c>
    </row>
    <row r="34" spans="1:8" s="22" customFormat="1" ht="21" customHeight="1" x14ac:dyDescent="0.3">
      <c r="A34" s="115" t="s">
        <v>119</v>
      </c>
      <c r="B34" s="56">
        <v>0.13997757159029112</v>
      </c>
      <c r="C34" s="44" t="s">
        <v>95</v>
      </c>
      <c r="D34" s="57">
        <f t="shared" ref="D34" si="3">$B$26*B34*$B$27</f>
        <v>1.6797308590834933E-2</v>
      </c>
      <c r="E34" s="65">
        <v>35</v>
      </c>
      <c r="F34" s="125">
        <f t="shared" si="1"/>
        <v>159.09090909090909</v>
      </c>
      <c r="G34" s="84">
        <f>IF(C34=$D$27,$E$27)</f>
        <v>30</v>
      </c>
      <c r="H34" s="85">
        <f t="shared" si="2"/>
        <v>2.1683798362714186</v>
      </c>
    </row>
    <row r="35" spans="1:8" s="22" customFormat="1" ht="21" customHeight="1" x14ac:dyDescent="0.3">
      <c r="A35" s="50"/>
      <c r="B35" s="56">
        <f>B34</f>
        <v>0.13997757159029112</v>
      </c>
      <c r="C35" s="52" t="s">
        <v>99</v>
      </c>
      <c r="D35" s="57">
        <f t="shared" ref="D35" si="4">$B$26*B34*(1-$B$27)</f>
        <v>3.9193720045281509E-2</v>
      </c>
      <c r="E35" s="65">
        <v>20</v>
      </c>
      <c r="F35" s="125">
        <f t="shared" si="1"/>
        <v>90.909090909090907</v>
      </c>
      <c r="G35" s="84">
        <f>IF(C35=$D$28,$E$28)</f>
        <v>10</v>
      </c>
      <c r="H35" s="85">
        <f t="shared" si="2"/>
        <v>3.1711282582091402</v>
      </c>
    </row>
    <row r="36" spans="1:8" s="22" customFormat="1" ht="21" customHeight="1" x14ac:dyDescent="0.3">
      <c r="A36" s="55" t="s">
        <v>106</v>
      </c>
      <c r="B36" s="56">
        <v>0.10890501471557403</v>
      </c>
      <c r="C36" s="44" t="s">
        <v>95</v>
      </c>
      <c r="D36" s="57">
        <f>$B$28*B36*$B$29</f>
        <v>4998.7401754448483</v>
      </c>
      <c r="E36" s="65">
        <v>0</v>
      </c>
      <c r="F36" s="125">
        <f t="shared" si="1"/>
        <v>0</v>
      </c>
      <c r="G36" s="38">
        <v>0</v>
      </c>
      <c r="H36" s="85">
        <f t="shared" si="2"/>
        <v>0</v>
      </c>
    </row>
    <row r="37" spans="1:8" s="22" customFormat="1" ht="21" customHeight="1" x14ac:dyDescent="0.3">
      <c r="A37" s="55"/>
      <c r="B37" s="56">
        <f>B36</f>
        <v>0.10890501471557403</v>
      </c>
      <c r="C37" s="52" t="s">
        <v>99</v>
      </c>
      <c r="D37" s="57">
        <f>$B$28*B36*(1-$B$29)</f>
        <v>882.13061919614984</v>
      </c>
      <c r="E37" s="65">
        <v>0</v>
      </c>
      <c r="F37" s="125">
        <f t="shared" si="1"/>
        <v>0</v>
      </c>
      <c r="G37" s="38">
        <v>0</v>
      </c>
      <c r="H37" s="85">
        <f t="shared" si="2"/>
        <v>0</v>
      </c>
    </row>
    <row r="38" spans="1:8" s="22" customFormat="1" ht="21" customHeight="1" x14ac:dyDescent="0.3">
      <c r="A38" s="55" t="s">
        <v>101</v>
      </c>
      <c r="B38" s="56">
        <v>1.7576183312764917E-2</v>
      </c>
      <c r="C38" s="44" t="s">
        <v>95</v>
      </c>
      <c r="D38" s="57">
        <f>$B$28*B38*$B$29</f>
        <v>806.74681405590957</v>
      </c>
      <c r="E38" s="65">
        <v>100</v>
      </c>
      <c r="F38" s="125">
        <f t="shared" si="1"/>
        <v>454.54545454545456</v>
      </c>
      <c r="G38" s="84">
        <f>IF(C38=$D$27,$E$27)</f>
        <v>30</v>
      </c>
      <c r="H38" s="85">
        <f t="shared" si="2"/>
        <v>342500.69287646346</v>
      </c>
    </row>
    <row r="39" spans="1:8" s="22" customFormat="1" ht="21" customHeight="1" x14ac:dyDescent="0.3">
      <c r="A39" s="55"/>
      <c r="B39" s="56">
        <f>B38</f>
        <v>1.7576183312764917E-2</v>
      </c>
      <c r="C39" s="52" t="s">
        <v>99</v>
      </c>
      <c r="D39" s="57">
        <f>$B$28*B38*(1-$B$29)</f>
        <v>142.36708483339584</v>
      </c>
      <c r="E39" s="65">
        <v>21</v>
      </c>
      <c r="F39" s="125">
        <f t="shared" si="1"/>
        <v>95.454545454545453</v>
      </c>
      <c r="G39" s="84">
        <f>IF(C39=$D$28,$E$28)</f>
        <v>10</v>
      </c>
      <c r="H39" s="85">
        <f t="shared" si="2"/>
        <v>12165.914522126553</v>
      </c>
    </row>
    <row r="40" spans="1:8" s="22" customFormat="1" ht="21" customHeight="1" x14ac:dyDescent="0.3">
      <c r="A40" s="55" t="s">
        <v>102</v>
      </c>
      <c r="B40" s="56">
        <v>3.0276897059390639E-2</v>
      </c>
      <c r="C40" s="44" t="s">
        <v>95</v>
      </c>
      <c r="D40" s="57">
        <f t="shared" ref="D40" si="5">$B$28*B40*$B$29</f>
        <v>1389.7095750260303</v>
      </c>
      <c r="E40" s="65">
        <v>50</v>
      </c>
      <c r="F40" s="125">
        <f t="shared" si="1"/>
        <v>227.27272727272728</v>
      </c>
      <c r="G40" s="84">
        <f>IF(C40=$D$27,$E$27)</f>
        <v>30</v>
      </c>
      <c r="H40" s="85">
        <f t="shared" si="2"/>
        <v>274151.79798240779</v>
      </c>
    </row>
    <row r="41" spans="1:8" s="22" customFormat="1" ht="21" customHeight="1" x14ac:dyDescent="0.3">
      <c r="A41" s="38"/>
      <c r="B41" s="56">
        <f>B40</f>
        <v>3.0276897059390639E-2</v>
      </c>
      <c r="C41" s="52" t="s">
        <v>99</v>
      </c>
      <c r="D41" s="57">
        <f t="shared" ref="D41" si="6">$B$28*B40*(1-$B$29)</f>
        <v>245.24286618106422</v>
      </c>
      <c r="E41" s="65">
        <v>7</v>
      </c>
      <c r="F41" s="125">
        <f t="shared" si="1"/>
        <v>31.818181818181817</v>
      </c>
      <c r="G41" s="84">
        <f>IF(C41=$D$28,$E$28)</f>
        <v>10</v>
      </c>
      <c r="H41" s="85">
        <f t="shared" si="2"/>
        <v>5350.7534439504916</v>
      </c>
    </row>
    <row r="42" spans="1:8" s="22" customFormat="1" ht="21" customHeight="1" x14ac:dyDescent="0.3">
      <c r="A42" s="55" t="s">
        <v>103</v>
      </c>
      <c r="B42" s="56">
        <v>3.0176878625456493E-2</v>
      </c>
      <c r="C42" s="44" t="s">
        <v>95</v>
      </c>
      <c r="D42" s="57">
        <f t="shared" ref="D42" si="7">$B$28*B42*$B$29</f>
        <v>1385.118728908453</v>
      </c>
      <c r="E42" s="65">
        <v>40</v>
      </c>
      <c r="F42" s="125">
        <f t="shared" si="1"/>
        <v>181.81818181818181</v>
      </c>
      <c r="G42" s="84">
        <f>IF(C42=$D$27,$E$27)</f>
        <v>30</v>
      </c>
      <c r="H42" s="85">
        <f t="shared" si="2"/>
        <v>210286.20702519242</v>
      </c>
    </row>
    <row r="43" spans="1:8" s="22" customFormat="1" ht="21" customHeight="1" x14ac:dyDescent="0.3">
      <c r="A43" s="53"/>
      <c r="B43" s="56">
        <f>B42</f>
        <v>3.0176878625456493E-2</v>
      </c>
      <c r="C43" s="52" t="s">
        <v>99</v>
      </c>
      <c r="D43" s="57">
        <f t="shared" ref="D43" si="8">$B$28*B42*(1-$B$29)</f>
        <v>244.43271686619761</v>
      </c>
      <c r="E43" s="65">
        <v>14</v>
      </c>
      <c r="F43" s="125">
        <f t="shared" si="1"/>
        <v>63.636363636363633</v>
      </c>
      <c r="G43" s="84">
        <f>IF(C43=$D$28,$E$28)</f>
        <v>10</v>
      </c>
      <c r="H43" s="85">
        <f t="shared" si="2"/>
        <v>13110.48208645969</v>
      </c>
    </row>
    <row r="44" spans="1:8" s="22" customFormat="1" ht="21" customHeight="1" x14ac:dyDescent="0.3">
      <c r="A44" s="43" t="s">
        <v>104</v>
      </c>
      <c r="B44" s="56">
        <v>4.6309485003301121E-2</v>
      </c>
      <c r="C44" s="44" t="s">
        <v>95</v>
      </c>
      <c r="D44" s="57">
        <f t="shared" ref="D44" si="9">$B$28*B44*$B$29</f>
        <v>2125.6053616515214</v>
      </c>
      <c r="E44" s="65">
        <v>16</v>
      </c>
      <c r="F44" s="125">
        <f t="shared" si="1"/>
        <v>72.727272727272734</v>
      </c>
      <c r="G44" s="84">
        <f>IF(C44=$D$27,$E$27)</f>
        <v>30</v>
      </c>
      <c r="H44" s="85">
        <f>(F44-G44)*D44</f>
        <v>90821.319997837752</v>
      </c>
    </row>
    <row r="45" spans="1:8" s="22" customFormat="1" ht="21" customHeight="1" x14ac:dyDescent="0.3">
      <c r="A45" s="43"/>
      <c r="B45" s="56">
        <f>B44</f>
        <v>4.6309485003301121E-2</v>
      </c>
      <c r="C45" s="52" t="s">
        <v>99</v>
      </c>
      <c r="D45" s="57">
        <f t="shared" ref="D45" si="10">$B$28*B44*(1-$B$29)</f>
        <v>375.10682852673915</v>
      </c>
      <c r="E45" s="65">
        <v>8</v>
      </c>
      <c r="F45" s="125">
        <f t="shared" si="1"/>
        <v>36.363636363636367</v>
      </c>
      <c r="G45" s="84">
        <f>IF(C45=$D$28,$E$28)</f>
        <v>10</v>
      </c>
      <c r="H45" s="85">
        <f t="shared" si="2"/>
        <v>9889.1800247958508</v>
      </c>
    </row>
    <row r="46" spans="1:8" s="22" customFormat="1" ht="21" customHeight="1" x14ac:dyDescent="0.3">
      <c r="A46" s="43" t="s">
        <v>105</v>
      </c>
      <c r="B46" s="56">
        <v>3.1358678614467811E-2</v>
      </c>
      <c r="C46" s="44" t="s">
        <v>95</v>
      </c>
      <c r="D46" s="57">
        <f t="shared" ref="D46" si="11">$B$28*B46*$B$29</f>
        <v>1439.3633484040724</v>
      </c>
      <c r="E46" s="65">
        <v>25</v>
      </c>
      <c r="F46" s="125">
        <f t="shared" si="1"/>
        <v>113.63636363636364</v>
      </c>
      <c r="G46" s="84">
        <f>IF(C46=$D$27,$E$27)</f>
        <v>30</v>
      </c>
      <c r="H46" s="85">
        <f t="shared" si="2"/>
        <v>120383.11641197697</v>
      </c>
    </row>
    <row r="47" spans="1:8" s="22" customFormat="1" ht="21" customHeight="1" x14ac:dyDescent="0.3">
      <c r="A47" s="43"/>
      <c r="B47" s="56">
        <f>B46</f>
        <v>3.1358678614467811E-2</v>
      </c>
      <c r="C47" s="52" t="s">
        <v>99</v>
      </c>
      <c r="D47" s="57">
        <f t="shared" ref="D47" si="12">$B$28*B46*(1-$B$29)</f>
        <v>254.00529677718933</v>
      </c>
      <c r="E47" s="65">
        <v>6</v>
      </c>
      <c r="F47" s="125">
        <f t="shared" si="1"/>
        <v>27.272727272727273</v>
      </c>
      <c r="G47" s="84">
        <f>IF(C47=$D$28,$E$28)</f>
        <v>10</v>
      </c>
      <c r="H47" s="85">
        <f t="shared" si="2"/>
        <v>4387.3642170605435</v>
      </c>
    </row>
    <row r="48" spans="1:8" s="22" customFormat="1" ht="21" customHeight="1" x14ac:dyDescent="0.3">
      <c r="A48" s="43" t="s">
        <v>107</v>
      </c>
      <c r="B48" s="58">
        <f>(2-SUM(B32:B47))/2</f>
        <v>0.36541929107875393</v>
      </c>
      <c r="C48" s="44" t="s">
        <v>95</v>
      </c>
      <c r="D48" s="57">
        <f t="shared" ref="D48" si="13">$B$28*B48*$B$29</f>
        <v>16772.745460514805</v>
      </c>
      <c r="E48" s="65">
        <v>35</v>
      </c>
      <c r="F48" s="125">
        <f t="shared" si="1"/>
        <v>159.09090909090909</v>
      </c>
      <c r="G48" s="84">
        <f>IF(C48=$D$27,$E$27)</f>
        <v>30</v>
      </c>
      <c r="H48" s="85">
        <f t="shared" si="2"/>
        <v>2165208.9594482747</v>
      </c>
    </row>
    <row r="49" spans="1:8" s="22" customFormat="1" ht="21" customHeight="1" x14ac:dyDescent="0.3">
      <c r="A49" s="43"/>
      <c r="B49" s="56">
        <f>B48</f>
        <v>0.36541929107875393</v>
      </c>
      <c r="C49" s="52" t="s">
        <v>99</v>
      </c>
      <c r="D49" s="57">
        <f t="shared" ref="D49" si="14">$B$28*B48*(1-$B$29)</f>
        <v>2959.896257737907</v>
      </c>
      <c r="E49" s="65">
        <v>8</v>
      </c>
      <c r="F49" s="125">
        <f t="shared" si="1"/>
        <v>36.363636363636367</v>
      </c>
      <c r="G49" s="84">
        <f>IF(C49=$D$28,$E$28)</f>
        <v>10</v>
      </c>
      <c r="H49" s="85">
        <f t="shared" si="2"/>
        <v>78033.628613090288</v>
      </c>
    </row>
    <row r="50" spans="1:8" s="22" customFormat="1" ht="21" customHeight="1" x14ac:dyDescent="0.3">
      <c r="A50" s="68" t="s">
        <v>61</v>
      </c>
      <c r="B50" s="47"/>
      <c r="C50" s="46" t="s">
        <v>83</v>
      </c>
      <c r="D50" s="126">
        <f>SUM(D32:D49)</f>
        <v>46441.267125152917</v>
      </c>
      <c r="E50" s="66" t="s">
        <v>83</v>
      </c>
      <c r="F50" s="125"/>
      <c r="G50" s="38"/>
      <c r="H50" s="85">
        <f t="shared" si="2"/>
        <v>0</v>
      </c>
    </row>
    <row r="51" spans="1:8" s="22" customFormat="1" ht="21" customHeight="1" x14ac:dyDescent="0.3">
      <c r="A51" s="38" t="s">
        <v>86</v>
      </c>
      <c r="B51" s="67">
        <f>B25*B26</f>
        <v>180000</v>
      </c>
      <c r="E51" s="17"/>
      <c r="F51" s="125"/>
    </row>
    <row r="52" spans="1:8" s="22" customFormat="1" ht="21" customHeight="1" x14ac:dyDescent="0.3">
      <c r="A52" s="69" t="s">
        <v>87</v>
      </c>
      <c r="B52" s="67">
        <f>B51+H50</f>
        <v>180000</v>
      </c>
      <c r="E52" s="17"/>
      <c r="F52" s="125"/>
    </row>
    <row r="53" spans="1:8" s="22" customFormat="1" ht="21" customHeight="1" x14ac:dyDescent="0.3">
      <c r="A53" s="25"/>
      <c r="B53" s="59"/>
      <c r="E53" s="17"/>
    </row>
    <row r="54" spans="1:8" s="22" customFormat="1" ht="21" customHeight="1" x14ac:dyDescent="0.3">
      <c r="A54" s="70" t="s">
        <v>89</v>
      </c>
      <c r="B54" s="71">
        <v>-240000</v>
      </c>
      <c r="C54" s="14" t="s">
        <v>64</v>
      </c>
      <c r="E54" s="17"/>
    </row>
    <row r="55" spans="1:8" s="22" customFormat="1" ht="21" customHeight="1" x14ac:dyDescent="0.3">
      <c r="A55" s="70" t="s">
        <v>88</v>
      </c>
      <c r="B55" s="71">
        <v>-540000</v>
      </c>
      <c r="C55" s="14" t="s">
        <v>65</v>
      </c>
      <c r="E55" s="17"/>
    </row>
    <row r="56" spans="1:8" s="22" customFormat="1" ht="21" customHeight="1" x14ac:dyDescent="0.3">
      <c r="A56" s="70" t="s">
        <v>90</v>
      </c>
      <c r="B56" s="71">
        <f>-300*5*365*2</f>
        <v>-1095000</v>
      </c>
      <c r="C56" s="14" t="s">
        <v>66</v>
      </c>
      <c r="E56" s="17"/>
    </row>
    <row r="57" spans="1:8" s="22" customFormat="1" ht="21" customHeight="1" x14ac:dyDescent="0.3">
      <c r="A57" s="38" t="s">
        <v>92</v>
      </c>
      <c r="B57" s="67"/>
      <c r="C57" s="22" t="s">
        <v>122</v>
      </c>
      <c r="E57" s="17"/>
    </row>
    <row r="58" spans="1:8" s="22" customFormat="1" ht="21" customHeight="1" x14ac:dyDescent="0.3">
      <c r="E58" s="17"/>
    </row>
    <row r="59" spans="1:8" ht="19" customHeight="1" x14ac:dyDescent="0.3">
      <c r="A59" s="72" t="s">
        <v>108</v>
      </c>
      <c r="B59" s="73">
        <f>SUM(B52:B57)</f>
        <v>-1695000</v>
      </c>
    </row>
    <row r="60" spans="1:8" ht="19" customHeight="1" x14ac:dyDescent="0.3"/>
    <row r="61" spans="1:8" ht="19" customHeight="1" x14ac:dyDescent="0.3"/>
    <row r="62" spans="1:8" ht="19" customHeight="1" x14ac:dyDescent="0.3"/>
    <row r="63" spans="1:8" ht="19" customHeight="1" x14ac:dyDescent="0.3"/>
    <row r="64" spans="1:8" ht="19" customHeight="1" x14ac:dyDescent="0.3"/>
    <row r="65" spans="1:5" ht="19" customHeight="1" x14ac:dyDescent="0.3">
      <c r="A65" s="26"/>
    </row>
    <row r="66" spans="1:5" ht="19" customHeight="1" x14ac:dyDescent="0.3">
      <c r="A66" s="26"/>
      <c r="B66" s="21"/>
      <c r="E66" s="15"/>
    </row>
    <row r="67" spans="1:5" ht="19" customHeight="1" x14ac:dyDescent="0.3">
      <c r="A67" s="26"/>
    </row>
  </sheetData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460AD-45FC-4446-B6B4-3BF8B9C13282}">
  <dimension ref="A3:D11"/>
  <sheetViews>
    <sheetView workbookViewId="0">
      <selection activeCell="D20" sqref="D20"/>
    </sheetView>
  </sheetViews>
  <sheetFormatPr defaultRowHeight="13" x14ac:dyDescent="0.3"/>
  <cols>
    <col min="1" max="1" width="20.6328125" customWidth="1"/>
    <col min="2" max="2" width="20" bestFit="1" customWidth="1"/>
    <col min="3" max="3" width="17.36328125" bestFit="1" customWidth="1"/>
  </cols>
  <sheetData>
    <row r="3" spans="1:4" x14ac:dyDescent="0.3">
      <c r="A3" s="146" t="s">
        <v>146</v>
      </c>
      <c r="B3" s="145" t="s">
        <v>144</v>
      </c>
      <c r="C3" s="145" t="s">
        <v>141</v>
      </c>
    </row>
    <row r="4" spans="1:4" x14ac:dyDescent="0.3">
      <c r="A4" s="181" t="s">
        <v>145</v>
      </c>
      <c r="B4">
        <v>1</v>
      </c>
      <c r="C4" s="135">
        <v>6.0999999999999999E-2</v>
      </c>
    </row>
    <row r="5" spans="1:4" x14ac:dyDescent="0.3">
      <c r="A5" s="181"/>
      <c r="B5">
        <v>2</v>
      </c>
      <c r="C5" s="135">
        <v>0.04</v>
      </c>
    </row>
    <row r="6" spans="1:4" x14ac:dyDescent="0.3">
      <c r="A6" s="181"/>
      <c r="B6">
        <v>3</v>
      </c>
      <c r="C6" s="135">
        <v>3.5000000000000003E-2</v>
      </c>
    </row>
    <row r="7" spans="1:4" x14ac:dyDescent="0.3">
      <c r="A7" s="181"/>
      <c r="B7">
        <v>4</v>
      </c>
      <c r="C7" s="135">
        <v>3.2000000000000001E-2</v>
      </c>
    </row>
    <row r="8" spans="1:4" x14ac:dyDescent="0.3">
      <c r="A8" s="181" t="s">
        <v>142</v>
      </c>
      <c r="B8">
        <v>1</v>
      </c>
      <c r="C8" s="135">
        <v>6.5000000000000002E-2</v>
      </c>
      <c r="D8" s="135"/>
    </row>
    <row r="9" spans="1:4" x14ac:dyDescent="0.3">
      <c r="A9" s="181"/>
      <c r="B9">
        <v>2</v>
      </c>
      <c r="C9" s="135">
        <v>4.4999999999999998E-2</v>
      </c>
      <c r="D9" s="135"/>
    </row>
    <row r="10" spans="1:4" x14ac:dyDescent="0.3">
      <c r="A10" s="181"/>
      <c r="B10">
        <v>3</v>
      </c>
      <c r="C10" s="135">
        <v>0.04</v>
      </c>
      <c r="D10" s="135"/>
    </row>
    <row r="11" spans="1:4" x14ac:dyDescent="0.3">
      <c r="A11" s="181"/>
      <c r="B11">
        <v>4</v>
      </c>
      <c r="C11" s="135">
        <v>3.6999999999999998E-2</v>
      </c>
      <c r="D11" s="135"/>
    </row>
  </sheetData>
  <mergeCells count="2">
    <mergeCell ref="A4:A7"/>
    <mergeCell ref="A8:A11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2964-8301-4CCE-A170-FA93115B113B}">
  <dimension ref="B1:V41"/>
  <sheetViews>
    <sheetView topLeftCell="H1" zoomScale="98" zoomScaleNormal="100" workbookViewId="0">
      <selection activeCell="J2" sqref="J2"/>
    </sheetView>
  </sheetViews>
  <sheetFormatPr defaultRowHeight="13" x14ac:dyDescent="0.3"/>
  <cols>
    <col min="1" max="7" width="0" hidden="1" customWidth="1"/>
    <col min="8" max="8" width="17.36328125" customWidth="1"/>
    <col min="9" max="9" width="21.54296875" customWidth="1"/>
    <col min="10" max="10" width="9.90625" bestFit="1" customWidth="1"/>
    <col min="11" max="11" width="12.08984375" customWidth="1"/>
    <col min="12" max="12" width="17.453125" bestFit="1" customWidth="1"/>
    <col min="13" max="13" width="15.90625" customWidth="1"/>
    <col min="14" max="14" width="17.36328125" bestFit="1" customWidth="1"/>
    <col min="15" max="15" width="9.08984375" bestFit="1" customWidth="1"/>
    <col min="16" max="16" width="14.453125" customWidth="1"/>
    <col min="17" max="18" width="11.90625" customWidth="1"/>
    <col min="19" max="19" width="15" customWidth="1"/>
    <col min="20" max="20" width="15.36328125" bestFit="1" customWidth="1"/>
    <col min="21" max="21" width="9" bestFit="1" customWidth="1"/>
  </cols>
  <sheetData>
    <row r="1" spans="2:22" x14ac:dyDescent="0.3">
      <c r="B1" t="s">
        <v>127</v>
      </c>
      <c r="C1" s="131">
        <v>4.4999999999999998E-2</v>
      </c>
      <c r="E1" t="s">
        <v>128</v>
      </c>
      <c r="F1" s="131">
        <v>3.2000000000000001E-2</v>
      </c>
      <c r="H1" s="153" t="str">
        <f>"消耗"&amp;L1&amp;"打款"</f>
        <v>消耗0.8打款</v>
      </c>
      <c r="I1" t="s">
        <v>156</v>
      </c>
      <c r="J1" s="148">
        <v>1.0999999999999999E-2</v>
      </c>
      <c r="K1" t="s">
        <v>139</v>
      </c>
      <c r="L1" s="149">
        <v>0.8</v>
      </c>
    </row>
    <row r="2" spans="2:22" x14ac:dyDescent="0.3">
      <c r="B2" t="s">
        <v>125</v>
      </c>
      <c r="C2" t="s">
        <v>126</v>
      </c>
      <c r="E2" t="s">
        <v>125</v>
      </c>
      <c r="F2" t="s">
        <v>126</v>
      </c>
      <c r="H2" t="s">
        <v>147</v>
      </c>
      <c r="I2" t="s">
        <v>157</v>
      </c>
      <c r="K2" t="s">
        <v>133</v>
      </c>
      <c r="L2" t="s">
        <v>148</v>
      </c>
      <c r="M2" t="s">
        <v>134</v>
      </c>
      <c r="N2" t="s">
        <v>135</v>
      </c>
      <c r="O2" t="s">
        <v>136</v>
      </c>
      <c r="P2" t="s">
        <v>137</v>
      </c>
      <c r="Q2" t="s">
        <v>138</v>
      </c>
      <c r="R2" t="s">
        <v>140</v>
      </c>
      <c r="S2" t="s">
        <v>149</v>
      </c>
      <c r="T2" t="s">
        <v>151</v>
      </c>
      <c r="U2" t="s">
        <v>150</v>
      </c>
    </row>
    <row r="3" spans="2:22" x14ac:dyDescent="0.3">
      <c r="B3">
        <v>1</v>
      </c>
      <c r="C3">
        <f>-500</f>
        <v>-500</v>
      </c>
      <c r="E3">
        <v>1</v>
      </c>
      <c r="F3">
        <f>-500/4</f>
        <v>-125</v>
      </c>
      <c r="I3">
        <f>K3*L1</f>
        <v>-100</v>
      </c>
      <c r="J3" s="151">
        <v>46023</v>
      </c>
      <c r="K3">
        <v>-125</v>
      </c>
      <c r="S3" s="134">
        <f>SUM(K3:R3)</f>
        <v>-125</v>
      </c>
      <c r="T3" s="132">
        <f>S3</f>
        <v>-125</v>
      </c>
      <c r="U3">
        <f>T3*1.5%</f>
        <v>-1.875</v>
      </c>
      <c r="V3" s="152"/>
    </row>
    <row r="4" spans="2:22" ht="14" x14ac:dyDescent="0.3">
      <c r="B4">
        <v>2</v>
      </c>
      <c r="C4" s="133">
        <f>-$C$3/12-$C$3/12*$C$1</f>
        <v>43.541666666666664</v>
      </c>
      <c r="E4">
        <v>2</v>
      </c>
      <c r="F4" s="133">
        <f>-$F$3/3-$F$3/3*$F$1</f>
        <v>43</v>
      </c>
      <c r="H4" s="134">
        <f t="shared" ref="H4:H15" si="0">L4+H3</f>
        <v>0</v>
      </c>
      <c r="J4" s="151">
        <v>46054</v>
      </c>
      <c r="L4" s="156"/>
      <c r="M4" s="133">
        <f t="shared" ref="M4:M15" si="1">L4*$J$1*95%</f>
        <v>0</v>
      </c>
      <c r="N4" s="142">
        <f t="shared" ref="N4:N15" si="2">L4*5%*12%</f>
        <v>0</v>
      </c>
      <c r="P4">
        <f>1.2/12</f>
        <v>9.9999999999999992E-2</v>
      </c>
      <c r="Q4">
        <f>-1.44/12</f>
        <v>-0.12</v>
      </c>
      <c r="R4" s="132">
        <f t="shared" ref="R4:R15" si="3">L4*5%*-4.2%</f>
        <v>0</v>
      </c>
      <c r="S4" s="134">
        <f t="shared" ref="S4:S15" si="4">SUM(K4:R4)</f>
        <v>-2.0000000000000004E-2</v>
      </c>
      <c r="T4" s="132">
        <f>S4+T3</f>
        <v>-125.02</v>
      </c>
      <c r="U4">
        <f>T4*1.5%+U3</f>
        <v>-3.7503000000000002</v>
      </c>
      <c r="V4" s="152"/>
    </row>
    <row r="5" spans="2:22" ht="14" x14ac:dyDescent="0.3">
      <c r="B5">
        <v>3</v>
      </c>
      <c r="C5" s="133">
        <f t="shared" ref="C5:C15" si="5">-$C$3/12-$C$3/12*$C$1</f>
        <v>43.541666666666664</v>
      </c>
      <c r="E5">
        <v>3</v>
      </c>
      <c r="F5" s="133">
        <f t="shared" ref="F5:F15" si="6">-$F$3/3-$F$3/3*$F$1</f>
        <v>43</v>
      </c>
      <c r="H5" s="134">
        <f t="shared" si="0"/>
        <v>0</v>
      </c>
      <c r="J5" s="151">
        <v>46082</v>
      </c>
      <c r="L5" s="156"/>
      <c r="M5" s="133">
        <f t="shared" si="1"/>
        <v>0</v>
      </c>
      <c r="N5" s="142">
        <f t="shared" si="2"/>
        <v>0</v>
      </c>
      <c r="P5">
        <f t="shared" ref="P5:P15" si="7">1.2/12</f>
        <v>9.9999999999999992E-2</v>
      </c>
      <c r="Q5">
        <f t="shared" ref="Q5:Q15" si="8">-1.44/12</f>
        <v>-0.12</v>
      </c>
      <c r="R5" s="132">
        <f t="shared" si="3"/>
        <v>0</v>
      </c>
      <c r="S5" s="134">
        <f t="shared" si="4"/>
        <v>-2.0000000000000004E-2</v>
      </c>
      <c r="T5" s="132">
        <f t="shared" ref="T5:T15" si="9">S5+T4</f>
        <v>-125.03999999999999</v>
      </c>
      <c r="U5">
        <f t="shared" ref="U5:U15" si="10">T5*1.5%+U4</f>
        <v>-5.6258999999999997</v>
      </c>
      <c r="V5" s="152"/>
    </row>
    <row r="6" spans="2:22" ht="14" x14ac:dyDescent="0.3">
      <c r="B6">
        <v>4</v>
      </c>
      <c r="C6" s="133">
        <f t="shared" si="5"/>
        <v>43.541666666666664</v>
      </c>
      <c r="E6">
        <v>4</v>
      </c>
      <c r="F6" s="133">
        <f>-$F$3/3-$F$3/3*$F$1-125</f>
        <v>-82</v>
      </c>
      <c r="H6" s="134">
        <f t="shared" si="0"/>
        <v>125</v>
      </c>
      <c r="J6" s="151">
        <v>46113</v>
      </c>
      <c r="K6">
        <v>-125</v>
      </c>
      <c r="L6" s="156">
        <v>125</v>
      </c>
      <c r="M6" s="133">
        <f t="shared" si="1"/>
        <v>1.3062499999999999</v>
      </c>
      <c r="N6" s="142">
        <f t="shared" si="2"/>
        <v>0.75</v>
      </c>
      <c r="O6" s="143"/>
      <c r="P6">
        <f t="shared" si="7"/>
        <v>9.9999999999999992E-2</v>
      </c>
      <c r="Q6">
        <f t="shared" si="8"/>
        <v>-0.12</v>
      </c>
      <c r="R6" s="132">
        <f t="shared" si="3"/>
        <v>-0.26250000000000001</v>
      </c>
      <c r="S6" s="134">
        <f t="shared" si="4"/>
        <v>1.7737499999999999</v>
      </c>
      <c r="T6" s="132">
        <f t="shared" si="9"/>
        <v>-123.26624999999999</v>
      </c>
      <c r="U6">
        <f t="shared" si="10"/>
        <v>-7.4748937499999997</v>
      </c>
      <c r="V6" s="152"/>
    </row>
    <row r="7" spans="2:22" ht="14" x14ac:dyDescent="0.3">
      <c r="B7">
        <v>5</v>
      </c>
      <c r="C7" s="133">
        <f t="shared" si="5"/>
        <v>43.541666666666664</v>
      </c>
      <c r="E7">
        <v>5</v>
      </c>
      <c r="F7" s="133">
        <f t="shared" si="6"/>
        <v>43</v>
      </c>
      <c r="H7" s="134">
        <f t="shared" si="0"/>
        <v>125</v>
      </c>
      <c r="J7" s="151">
        <v>46143</v>
      </c>
      <c r="L7" s="156"/>
      <c r="M7" s="133">
        <f t="shared" si="1"/>
        <v>0</v>
      </c>
      <c r="N7" s="142">
        <f t="shared" si="2"/>
        <v>0</v>
      </c>
      <c r="P7">
        <f t="shared" si="7"/>
        <v>9.9999999999999992E-2</v>
      </c>
      <c r="Q7">
        <f t="shared" si="8"/>
        <v>-0.12</v>
      </c>
      <c r="R7" s="132">
        <f t="shared" si="3"/>
        <v>0</v>
      </c>
      <c r="S7" s="134">
        <f t="shared" si="4"/>
        <v>-2.0000000000000004E-2</v>
      </c>
      <c r="T7" s="132">
        <f t="shared" si="9"/>
        <v>-123.28624999999998</v>
      </c>
      <c r="U7">
        <f t="shared" si="10"/>
        <v>-9.324187499999999</v>
      </c>
      <c r="V7" s="152"/>
    </row>
    <row r="8" spans="2:22" ht="14" x14ac:dyDescent="0.3">
      <c r="B8">
        <v>6</v>
      </c>
      <c r="C8" s="133">
        <f t="shared" si="5"/>
        <v>43.541666666666664</v>
      </c>
      <c r="E8">
        <v>6</v>
      </c>
      <c r="F8" s="133">
        <f t="shared" si="6"/>
        <v>43</v>
      </c>
      <c r="H8" s="134">
        <f t="shared" si="0"/>
        <v>125</v>
      </c>
      <c r="J8" s="151">
        <v>46174</v>
      </c>
      <c r="K8">
        <v>-125</v>
      </c>
      <c r="L8" s="156"/>
      <c r="M8" s="133">
        <f t="shared" si="1"/>
        <v>0</v>
      </c>
      <c r="N8" s="142">
        <f t="shared" si="2"/>
        <v>0</v>
      </c>
      <c r="P8">
        <f t="shared" si="7"/>
        <v>9.9999999999999992E-2</v>
      </c>
      <c r="Q8">
        <f t="shared" si="8"/>
        <v>-0.12</v>
      </c>
      <c r="R8" s="132">
        <f t="shared" si="3"/>
        <v>0</v>
      </c>
      <c r="S8" s="134">
        <f>SUM(K8:R8)</f>
        <v>-125.02000000000001</v>
      </c>
      <c r="T8" s="132">
        <f t="shared" si="9"/>
        <v>-248.30624999999998</v>
      </c>
      <c r="U8">
        <f t="shared" si="10"/>
        <v>-13.048781249999998</v>
      </c>
      <c r="V8" s="152"/>
    </row>
    <row r="9" spans="2:22" ht="14" x14ac:dyDescent="0.3">
      <c r="B9">
        <v>7</v>
      </c>
      <c r="C9" s="133">
        <f t="shared" si="5"/>
        <v>43.541666666666664</v>
      </c>
      <c r="E9">
        <v>7</v>
      </c>
      <c r="F9" s="133">
        <f>-$F$3/3-$F$3/3*$F$1-125</f>
        <v>-82</v>
      </c>
      <c r="H9" s="134">
        <f t="shared" si="0"/>
        <v>250</v>
      </c>
      <c r="J9" s="151">
        <v>46204</v>
      </c>
      <c r="L9" s="156">
        <v>125</v>
      </c>
      <c r="M9" s="133">
        <f t="shared" si="1"/>
        <v>1.3062499999999999</v>
      </c>
      <c r="N9" s="142">
        <f t="shared" si="2"/>
        <v>0.75</v>
      </c>
      <c r="O9" s="143"/>
      <c r="P9">
        <f t="shared" si="7"/>
        <v>9.9999999999999992E-2</v>
      </c>
      <c r="Q9">
        <f t="shared" si="8"/>
        <v>-0.12</v>
      </c>
      <c r="R9" s="132">
        <f t="shared" si="3"/>
        <v>-0.26250000000000001</v>
      </c>
      <c r="S9" s="134">
        <f t="shared" si="4"/>
        <v>126.77374999999999</v>
      </c>
      <c r="T9" s="132">
        <f t="shared" si="9"/>
        <v>-121.53249999999998</v>
      </c>
      <c r="U9">
        <f t="shared" si="10"/>
        <v>-14.871768749999998</v>
      </c>
      <c r="V9" s="152"/>
    </row>
    <row r="10" spans="2:22" ht="14" x14ac:dyDescent="0.3">
      <c r="B10">
        <v>8</v>
      </c>
      <c r="C10" s="133">
        <f t="shared" si="5"/>
        <v>43.541666666666664</v>
      </c>
      <c r="E10">
        <v>8</v>
      </c>
      <c r="F10" s="133">
        <f t="shared" si="6"/>
        <v>43</v>
      </c>
      <c r="H10" s="134">
        <f t="shared" si="0"/>
        <v>250</v>
      </c>
      <c r="J10" s="151">
        <v>46235</v>
      </c>
      <c r="K10">
        <v>-125</v>
      </c>
      <c r="L10" s="156"/>
      <c r="M10" s="133">
        <f t="shared" si="1"/>
        <v>0</v>
      </c>
      <c r="N10" s="142">
        <f t="shared" si="2"/>
        <v>0</v>
      </c>
      <c r="P10">
        <f t="shared" si="7"/>
        <v>9.9999999999999992E-2</v>
      </c>
      <c r="Q10">
        <f t="shared" si="8"/>
        <v>-0.12</v>
      </c>
      <c r="R10" s="132">
        <f t="shared" si="3"/>
        <v>0</v>
      </c>
      <c r="S10" s="134">
        <f>SUM(K10:R10)</f>
        <v>-125.02000000000001</v>
      </c>
      <c r="T10" s="132">
        <f t="shared" si="9"/>
        <v>-246.55250000000001</v>
      </c>
      <c r="U10">
        <f t="shared" si="10"/>
        <v>-18.570056249999997</v>
      </c>
      <c r="V10" s="152"/>
    </row>
    <row r="11" spans="2:22" ht="14" x14ac:dyDescent="0.3">
      <c r="B11">
        <v>9</v>
      </c>
      <c r="C11" s="133">
        <f t="shared" si="5"/>
        <v>43.541666666666664</v>
      </c>
      <c r="E11">
        <v>9</v>
      </c>
      <c r="F11" s="133">
        <f t="shared" si="6"/>
        <v>43</v>
      </c>
      <c r="H11" s="134">
        <f t="shared" si="0"/>
        <v>250</v>
      </c>
      <c r="J11" s="151">
        <v>46266</v>
      </c>
      <c r="L11" s="156"/>
      <c r="M11" s="133">
        <f t="shared" si="1"/>
        <v>0</v>
      </c>
      <c r="N11" s="142">
        <f t="shared" si="2"/>
        <v>0</v>
      </c>
      <c r="P11">
        <f t="shared" si="7"/>
        <v>9.9999999999999992E-2</v>
      </c>
      <c r="Q11">
        <f t="shared" si="8"/>
        <v>-0.12</v>
      </c>
      <c r="R11" s="132">
        <f t="shared" si="3"/>
        <v>0</v>
      </c>
      <c r="S11" s="134">
        <f t="shared" si="4"/>
        <v>-2.0000000000000004E-2</v>
      </c>
      <c r="T11" s="132">
        <f t="shared" si="9"/>
        <v>-246.57250000000002</v>
      </c>
      <c r="U11">
        <f t="shared" si="10"/>
        <v>-22.268643749999995</v>
      </c>
      <c r="V11" s="152"/>
    </row>
    <row r="12" spans="2:22" ht="14" x14ac:dyDescent="0.3">
      <c r="B12">
        <v>10</v>
      </c>
      <c r="C12" s="133">
        <f t="shared" si="5"/>
        <v>43.541666666666664</v>
      </c>
      <c r="E12">
        <v>10</v>
      </c>
      <c r="F12" s="133">
        <f>-$F$3/3-$F$3/3*$F$1-125</f>
        <v>-82</v>
      </c>
      <c r="H12" s="134">
        <f t="shared" si="0"/>
        <v>375</v>
      </c>
      <c r="J12" s="151">
        <v>46296</v>
      </c>
      <c r="L12" s="156">
        <v>125</v>
      </c>
      <c r="M12" s="133">
        <f t="shared" si="1"/>
        <v>1.3062499999999999</v>
      </c>
      <c r="N12" s="142">
        <f t="shared" si="2"/>
        <v>0.75</v>
      </c>
      <c r="O12" s="143"/>
      <c r="P12">
        <f t="shared" si="7"/>
        <v>9.9999999999999992E-2</v>
      </c>
      <c r="Q12">
        <f t="shared" si="8"/>
        <v>-0.12</v>
      </c>
      <c r="R12" s="132">
        <f t="shared" si="3"/>
        <v>-0.26250000000000001</v>
      </c>
      <c r="S12" s="134">
        <f t="shared" si="4"/>
        <v>126.77374999999999</v>
      </c>
      <c r="T12" s="132">
        <f t="shared" si="9"/>
        <v>-119.79875000000003</v>
      </c>
      <c r="U12">
        <f t="shared" si="10"/>
        <v>-24.065624999999997</v>
      </c>
      <c r="V12" s="152"/>
    </row>
    <row r="13" spans="2:22" ht="14" x14ac:dyDescent="0.3">
      <c r="B13">
        <v>11</v>
      </c>
      <c r="C13" s="133">
        <f t="shared" si="5"/>
        <v>43.541666666666664</v>
      </c>
      <c r="E13">
        <v>11</v>
      </c>
      <c r="F13" s="133">
        <f t="shared" si="6"/>
        <v>43</v>
      </c>
      <c r="H13" s="134">
        <f t="shared" si="0"/>
        <v>375</v>
      </c>
      <c r="J13" s="151">
        <v>46327</v>
      </c>
      <c r="L13" s="156"/>
      <c r="M13" s="133">
        <f t="shared" si="1"/>
        <v>0</v>
      </c>
      <c r="N13" s="142">
        <f t="shared" si="2"/>
        <v>0</v>
      </c>
      <c r="P13">
        <f t="shared" si="7"/>
        <v>9.9999999999999992E-2</v>
      </c>
      <c r="Q13">
        <f t="shared" si="8"/>
        <v>-0.12</v>
      </c>
      <c r="R13" s="132">
        <f t="shared" si="3"/>
        <v>0</v>
      </c>
      <c r="S13" s="134">
        <f t="shared" si="4"/>
        <v>-2.0000000000000004E-2</v>
      </c>
      <c r="T13" s="132">
        <f t="shared" si="9"/>
        <v>-119.81875000000002</v>
      </c>
      <c r="U13">
        <f t="shared" si="10"/>
        <v>-25.862906249999998</v>
      </c>
      <c r="V13" s="152"/>
    </row>
    <row r="14" spans="2:22" ht="14" x14ac:dyDescent="0.3">
      <c r="B14">
        <v>12</v>
      </c>
      <c r="C14" s="133">
        <f t="shared" si="5"/>
        <v>43.541666666666664</v>
      </c>
      <c r="E14">
        <v>12</v>
      </c>
      <c r="F14" s="133">
        <f t="shared" si="6"/>
        <v>43</v>
      </c>
      <c r="H14" s="134">
        <f t="shared" si="0"/>
        <v>375</v>
      </c>
      <c r="J14" s="151">
        <v>46357</v>
      </c>
      <c r="L14" s="156"/>
      <c r="M14" s="133">
        <f t="shared" si="1"/>
        <v>0</v>
      </c>
      <c r="N14" s="142">
        <f t="shared" si="2"/>
        <v>0</v>
      </c>
      <c r="P14">
        <f t="shared" si="7"/>
        <v>9.9999999999999992E-2</v>
      </c>
      <c r="Q14">
        <f t="shared" si="8"/>
        <v>-0.12</v>
      </c>
      <c r="R14" s="132">
        <f t="shared" si="3"/>
        <v>0</v>
      </c>
      <c r="S14" s="134">
        <f t="shared" si="4"/>
        <v>-2.0000000000000004E-2</v>
      </c>
      <c r="T14" s="132">
        <f t="shared" si="9"/>
        <v>-119.83875000000002</v>
      </c>
      <c r="U14">
        <f t="shared" si="10"/>
        <v>-27.660487499999999</v>
      </c>
      <c r="V14" s="152"/>
    </row>
    <row r="15" spans="2:22" ht="14" x14ac:dyDescent="0.3">
      <c r="B15">
        <v>1</v>
      </c>
      <c r="C15" s="133">
        <f t="shared" si="5"/>
        <v>43.541666666666664</v>
      </c>
      <c r="E15">
        <v>1</v>
      </c>
      <c r="F15" s="133">
        <f t="shared" si="6"/>
        <v>43</v>
      </c>
      <c r="H15" s="134">
        <f t="shared" si="0"/>
        <v>500</v>
      </c>
      <c r="J15" s="151">
        <v>46388</v>
      </c>
      <c r="L15" s="156">
        <v>125</v>
      </c>
      <c r="M15" s="133">
        <f t="shared" si="1"/>
        <v>1.3062499999999999</v>
      </c>
      <c r="N15" s="142">
        <f t="shared" si="2"/>
        <v>0.75</v>
      </c>
      <c r="O15" s="143"/>
      <c r="P15">
        <f t="shared" si="7"/>
        <v>9.9999999999999992E-2</v>
      </c>
      <c r="Q15">
        <f t="shared" si="8"/>
        <v>-0.12</v>
      </c>
      <c r="R15" s="132">
        <f t="shared" si="3"/>
        <v>-0.26250000000000001</v>
      </c>
      <c r="S15" s="134">
        <f t="shared" si="4"/>
        <v>126.77374999999999</v>
      </c>
      <c r="T15" s="132">
        <f t="shared" si="9"/>
        <v>6.9349999999999739</v>
      </c>
      <c r="U15">
        <f t="shared" si="10"/>
        <v>-27.556462499999999</v>
      </c>
      <c r="V15" s="152"/>
    </row>
    <row r="16" spans="2:22" x14ac:dyDescent="0.3">
      <c r="T16" s="147"/>
      <c r="U16" s="150"/>
      <c r="V16" s="152"/>
    </row>
    <row r="17" spans="8:22" x14ac:dyDescent="0.3">
      <c r="V17" s="150"/>
    </row>
    <row r="18" spans="8:22" x14ac:dyDescent="0.3">
      <c r="H18" t="s">
        <v>154</v>
      </c>
      <c r="I18" s="132">
        <f>T15/5</f>
        <v>1.3869999999999947</v>
      </c>
    </row>
    <row r="19" spans="8:22" x14ac:dyDescent="0.3">
      <c r="H19" s="147" t="s">
        <v>152</v>
      </c>
      <c r="I19" s="147">
        <f>-T15/SUM(K3:K14)</f>
        <v>1.3869999999999948E-2</v>
      </c>
    </row>
    <row r="20" spans="8:22" x14ac:dyDescent="0.3">
      <c r="H20" s="154" t="s">
        <v>155</v>
      </c>
      <c r="I20" s="152">
        <f>(T15+U15)/5</f>
        <v>-4.1242925000000046</v>
      </c>
    </row>
    <row r="21" spans="8:22" x14ac:dyDescent="0.3">
      <c r="H21" t="s">
        <v>158</v>
      </c>
      <c r="I21" s="147">
        <f>-(U15+T15)/SUM(K3:K15)</f>
        <v>-4.1242925000000048E-2</v>
      </c>
      <c r="S21" s="134"/>
    </row>
    <row r="22" spans="8:22" x14ac:dyDescent="0.3">
      <c r="H22" t="s">
        <v>153</v>
      </c>
      <c r="I22" s="147">
        <f>XIRR(S3:S15,J3:J15)</f>
        <v>4.5191577076911932E-2</v>
      </c>
      <c r="S22" s="134"/>
    </row>
    <row r="23" spans="8:22" x14ac:dyDescent="0.3">
      <c r="S23" s="134"/>
    </row>
    <row r="24" spans="8:22" x14ac:dyDescent="0.3">
      <c r="J24" s="151"/>
      <c r="L24" s="134"/>
      <c r="M24" s="134"/>
      <c r="S24" s="134"/>
    </row>
    <row r="25" spans="8:22" ht="14" x14ac:dyDescent="0.3">
      <c r="J25" s="151"/>
      <c r="L25" s="155"/>
      <c r="M25" s="134"/>
    </row>
    <row r="26" spans="8:22" ht="14" x14ac:dyDescent="0.3">
      <c r="J26" s="151"/>
      <c r="L26" s="155"/>
      <c r="M26" s="134"/>
      <c r="S26" s="149"/>
    </row>
    <row r="27" spans="8:22" ht="14" x14ac:dyDescent="0.3">
      <c r="J27" s="151"/>
      <c r="L27" s="155"/>
      <c r="M27" s="134"/>
    </row>
    <row r="28" spans="8:22" ht="14" x14ac:dyDescent="0.3">
      <c r="J28" s="151"/>
      <c r="L28" s="155"/>
      <c r="M28" s="134"/>
    </row>
    <row r="29" spans="8:22" ht="14" x14ac:dyDescent="0.3">
      <c r="J29" s="151"/>
      <c r="L29" s="155"/>
      <c r="M29" s="134"/>
    </row>
    <row r="30" spans="8:22" ht="14" x14ac:dyDescent="0.3">
      <c r="J30" s="151"/>
      <c r="L30" s="155"/>
      <c r="M30" s="134"/>
    </row>
    <row r="31" spans="8:22" ht="14" x14ac:dyDescent="0.3">
      <c r="J31" s="151"/>
      <c r="L31" s="155"/>
      <c r="M31" s="134"/>
    </row>
    <row r="32" spans="8:22" ht="14" x14ac:dyDescent="0.3">
      <c r="J32" s="151"/>
      <c r="L32" s="155"/>
      <c r="M32" s="134"/>
    </row>
    <row r="33" spans="8:13" ht="14" x14ac:dyDescent="0.3">
      <c r="J33" s="151"/>
      <c r="L33" s="155"/>
      <c r="M33" s="134"/>
    </row>
    <row r="34" spans="8:13" ht="14" x14ac:dyDescent="0.3">
      <c r="J34" s="151"/>
      <c r="L34" s="155"/>
      <c r="M34" s="134"/>
    </row>
    <row r="35" spans="8:13" ht="14" x14ac:dyDescent="0.3">
      <c r="J35" s="151"/>
      <c r="L35" s="155"/>
      <c r="M35" s="134"/>
    </row>
    <row r="36" spans="8:13" ht="14" x14ac:dyDescent="0.3">
      <c r="J36" s="151"/>
      <c r="L36" s="155"/>
      <c r="M36" s="134"/>
    </row>
    <row r="37" spans="8:13" x14ac:dyDescent="0.3">
      <c r="J37" s="151"/>
      <c r="L37" s="134"/>
      <c r="M37" s="134"/>
    </row>
    <row r="38" spans="8:13" x14ac:dyDescent="0.3">
      <c r="J38" s="151"/>
      <c r="L38" s="134"/>
      <c r="M38" s="134"/>
    </row>
    <row r="39" spans="8:13" x14ac:dyDescent="0.3">
      <c r="J39" s="151"/>
      <c r="L39" s="134"/>
      <c r="M39" s="134"/>
    </row>
    <row r="40" spans="8:13" x14ac:dyDescent="0.3">
      <c r="J40" s="151"/>
      <c r="K40" s="135"/>
      <c r="L40" s="133"/>
    </row>
    <row r="41" spans="8:13" x14ac:dyDescent="0.3">
      <c r="H41" s="131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ECA3-3488-48C8-8E91-7414D3F9F424}">
  <dimension ref="B1:S53"/>
  <sheetViews>
    <sheetView tabSelected="1" topLeftCell="B1" zoomScale="98" zoomScaleNormal="100" workbookViewId="0">
      <selection activeCell="D2" sqref="D2"/>
    </sheetView>
  </sheetViews>
  <sheetFormatPr defaultRowHeight="13" x14ac:dyDescent="0.3"/>
  <cols>
    <col min="1" max="1" width="0" style="157" hidden="1" customWidth="1"/>
    <col min="2" max="2" width="20.6328125" style="157" bestFit="1" customWidth="1"/>
    <col min="3" max="3" width="8.6328125" style="157" bestFit="1" customWidth="1"/>
    <col min="4" max="4" width="16.6328125" style="157" bestFit="1" customWidth="1"/>
    <col min="5" max="5" width="20.6328125" style="157" bestFit="1" customWidth="1"/>
    <col min="6" max="6" width="19.81640625" style="157" bestFit="1" customWidth="1"/>
    <col min="7" max="8" width="19.81640625" style="157" customWidth="1"/>
    <col min="9" max="9" width="8.7265625" style="157" bestFit="1" customWidth="1"/>
    <col min="10" max="10" width="18.6328125" style="157" bestFit="1" customWidth="1"/>
    <col min="11" max="11" width="7.26953125" style="157" bestFit="1" customWidth="1"/>
    <col min="12" max="12" width="17.90625" style="157" bestFit="1" customWidth="1"/>
    <col min="13" max="14" width="10.54296875" style="157" bestFit="1" customWidth="1"/>
    <col min="15" max="15" width="13.7265625" style="157" bestFit="1" customWidth="1"/>
    <col min="16" max="16" width="9" style="157" bestFit="1" customWidth="1"/>
    <col min="17" max="16384" width="8.7265625" style="157"/>
  </cols>
  <sheetData>
    <row r="1" spans="2:17" x14ac:dyDescent="0.3">
      <c r="B1" s="157" t="s">
        <v>173</v>
      </c>
      <c r="C1" s="159">
        <v>0.06</v>
      </c>
    </row>
    <row r="2" spans="2:17" x14ac:dyDescent="0.3">
      <c r="B2" s="157" t="s">
        <v>174</v>
      </c>
      <c r="C2" s="158">
        <v>4.2000000000000003E-2</v>
      </c>
    </row>
    <row r="4" spans="2:17" x14ac:dyDescent="0.3">
      <c r="B4" s="157" t="s">
        <v>175</v>
      </c>
      <c r="C4" s="175">
        <v>2</v>
      </c>
      <c r="D4" s="157" t="s">
        <v>178</v>
      </c>
      <c r="E4" s="159">
        <v>0.08</v>
      </c>
    </row>
    <row r="5" spans="2:17" x14ac:dyDescent="0.3">
      <c r="B5" s="157" t="s">
        <v>160</v>
      </c>
      <c r="C5" s="158">
        <v>1.7999999999999999E-2</v>
      </c>
      <c r="D5" s="157" t="s">
        <v>162</v>
      </c>
      <c r="E5" s="159">
        <v>0.1</v>
      </c>
      <c r="F5" s="157" t="s">
        <v>164</v>
      </c>
      <c r="G5" s="159">
        <v>0.1</v>
      </c>
      <c r="H5" s="157" t="s">
        <v>166</v>
      </c>
      <c r="I5" s="159">
        <v>0.05</v>
      </c>
    </row>
    <row r="6" spans="2:17" x14ac:dyDescent="0.3">
      <c r="B6" s="157" t="s">
        <v>161</v>
      </c>
      <c r="C6" s="158">
        <v>0.5</v>
      </c>
      <c r="D6" s="157" t="s">
        <v>163</v>
      </c>
      <c r="E6" s="159">
        <v>0.2</v>
      </c>
      <c r="F6" s="157" t="s">
        <v>165</v>
      </c>
      <c r="G6" s="159">
        <v>0.1</v>
      </c>
      <c r="H6" s="157" t="s">
        <v>167</v>
      </c>
      <c r="I6" s="159">
        <v>0.1</v>
      </c>
    </row>
    <row r="7" spans="2:17" x14ac:dyDescent="0.3">
      <c r="C7" s="158"/>
      <c r="E7" s="159"/>
      <c r="G7" s="159"/>
      <c r="I7" s="159"/>
    </row>
    <row r="8" spans="2:17" x14ac:dyDescent="0.3">
      <c r="B8" s="168" t="s">
        <v>159</v>
      </c>
      <c r="C8" s="168" t="s">
        <v>133</v>
      </c>
      <c r="D8" s="168" t="s">
        <v>168</v>
      </c>
      <c r="E8" s="168" t="s">
        <v>134</v>
      </c>
      <c r="F8" s="168" t="s">
        <v>169</v>
      </c>
      <c r="G8" s="168" t="s">
        <v>170</v>
      </c>
      <c r="H8" s="168" t="s">
        <v>171</v>
      </c>
      <c r="I8" s="168" t="s">
        <v>136</v>
      </c>
      <c r="J8" s="168" t="s">
        <v>172</v>
      </c>
      <c r="K8" s="168" t="s">
        <v>138</v>
      </c>
      <c r="L8" s="168" t="s">
        <v>140</v>
      </c>
      <c r="M8" s="168" t="s">
        <v>149</v>
      </c>
      <c r="N8" s="168" t="s">
        <v>151</v>
      </c>
      <c r="O8" s="168" t="s">
        <v>150</v>
      </c>
    </row>
    <row r="9" spans="2:17" x14ac:dyDescent="0.3">
      <c r="B9" s="169">
        <v>46023</v>
      </c>
      <c r="C9" s="168">
        <v>125</v>
      </c>
      <c r="D9" s="168"/>
      <c r="E9" s="168"/>
      <c r="F9" s="168"/>
      <c r="G9" s="168"/>
      <c r="H9" s="168"/>
      <c r="I9" s="168"/>
      <c r="J9" s="168"/>
      <c r="K9" s="168"/>
      <c r="L9" s="168"/>
      <c r="M9" s="170">
        <f>-C9+SUM(D9:L9)</f>
        <v>-125</v>
      </c>
      <c r="N9" s="171">
        <f>M9</f>
        <v>-125</v>
      </c>
      <c r="O9" s="171">
        <f>N9*-$C$1/12/$C$4</f>
        <v>0.3125</v>
      </c>
      <c r="Q9" s="162"/>
    </row>
    <row r="10" spans="2:17" ht="14" x14ac:dyDescent="0.3">
      <c r="B10" s="169">
        <v>46054</v>
      </c>
      <c r="C10" s="168"/>
      <c r="D10" s="172">
        <v>44.833710630000006</v>
      </c>
      <c r="E10" s="173">
        <f t="shared" ref="E10:E21" si="0">D10*$C$5*$C$6</f>
        <v>0.40350339567000004</v>
      </c>
      <c r="F10" s="173">
        <f t="shared" ref="F10:F21" si="1">D10*$E$5*$E$6</f>
        <v>0.89667421260000024</v>
      </c>
      <c r="G10" s="173">
        <f t="shared" ref="G10:G21" si="2">$D10*$G$5*$G$6</f>
        <v>0.44833710630000012</v>
      </c>
      <c r="H10" s="173">
        <f t="shared" ref="H10:H21" si="3">$D10*$I$5*$I$6</f>
        <v>0.22416855315000006</v>
      </c>
      <c r="I10" s="168"/>
      <c r="J10" s="168"/>
      <c r="K10" s="168"/>
      <c r="L10" s="171">
        <f>$D10*$G$6*-$C$2</f>
        <v>-0.18830158464600005</v>
      </c>
      <c r="M10" s="170">
        <f t="shared" ref="M10:M21" si="4">-C10+SUM(D10:L10)</f>
        <v>46.618092313074008</v>
      </c>
      <c r="N10" s="171">
        <f>M10+N9</f>
        <v>-78.381907686925985</v>
      </c>
      <c r="O10" s="171">
        <f t="shared" ref="O10:O21" si="5">N10*-$C$1/12/$C$4</f>
        <v>0.19595476921731494</v>
      </c>
      <c r="Q10" s="162"/>
    </row>
    <row r="11" spans="2:17" ht="14" x14ac:dyDescent="0.3">
      <c r="B11" s="169">
        <v>46082</v>
      </c>
      <c r="C11" s="168"/>
      <c r="D11" s="172">
        <v>52.13619353</v>
      </c>
      <c r="E11" s="173">
        <f t="shared" si="0"/>
        <v>0.46922574176999998</v>
      </c>
      <c r="F11" s="173">
        <f t="shared" si="1"/>
        <v>1.0427238706000002</v>
      </c>
      <c r="G11" s="173">
        <f t="shared" si="2"/>
        <v>0.52136193530000008</v>
      </c>
      <c r="H11" s="173">
        <f t="shared" si="3"/>
        <v>0.26068096765000004</v>
      </c>
      <c r="I11" s="168"/>
      <c r="J11" s="168"/>
      <c r="K11" s="168"/>
      <c r="L11" s="171">
        <f t="shared" ref="L11:L21" si="6">$D11*$G$6*-$C$2</f>
        <v>-0.21897201282600004</v>
      </c>
      <c r="M11" s="170">
        <f t="shared" si="4"/>
        <v>54.211214032494006</v>
      </c>
      <c r="N11" s="171">
        <f t="shared" ref="N11:N21" si="7">M11+N10</f>
        <v>-24.170693654431979</v>
      </c>
      <c r="O11" s="171">
        <f t="shared" si="5"/>
        <v>6.0426734136079942E-2</v>
      </c>
      <c r="Q11" s="162"/>
    </row>
    <row r="12" spans="2:17" ht="14" x14ac:dyDescent="0.3">
      <c r="B12" s="169">
        <v>46113</v>
      </c>
      <c r="C12" s="168">
        <v>125</v>
      </c>
      <c r="D12" s="172">
        <v>46.021149049999998</v>
      </c>
      <c r="E12" s="173">
        <f t="shared" si="0"/>
        <v>0.41419034144999994</v>
      </c>
      <c r="F12" s="173">
        <f t="shared" si="1"/>
        <v>0.92042298099999997</v>
      </c>
      <c r="G12" s="173">
        <f t="shared" si="2"/>
        <v>0.46021149049999999</v>
      </c>
      <c r="H12" s="173">
        <f t="shared" si="3"/>
        <v>0.23010574524999999</v>
      </c>
      <c r="I12" s="174"/>
      <c r="J12" s="168"/>
      <c r="K12" s="168"/>
      <c r="L12" s="171">
        <f t="shared" si="6"/>
        <v>-0.19328882601</v>
      </c>
      <c r="M12" s="170">
        <f t="shared" si="4"/>
        <v>-77.147209217810001</v>
      </c>
      <c r="N12" s="171">
        <f t="shared" si="7"/>
        <v>-101.31790287224197</v>
      </c>
      <c r="O12" s="171">
        <f t="shared" si="5"/>
        <v>0.25329475718060496</v>
      </c>
      <c r="Q12" s="162"/>
    </row>
    <row r="13" spans="2:17" ht="14" x14ac:dyDescent="0.3">
      <c r="B13" s="169">
        <v>46143</v>
      </c>
      <c r="C13" s="168"/>
      <c r="D13" s="172">
        <v>44.621485640000003</v>
      </c>
      <c r="E13" s="173">
        <f t="shared" si="0"/>
        <v>0.40159337076000001</v>
      </c>
      <c r="F13" s="173">
        <f t="shared" si="1"/>
        <v>0.89242971280000016</v>
      </c>
      <c r="G13" s="173">
        <f t="shared" si="2"/>
        <v>0.44621485640000008</v>
      </c>
      <c r="H13" s="173">
        <f t="shared" si="3"/>
        <v>0.22310742820000004</v>
      </c>
      <c r="I13" s="168"/>
      <c r="J13" s="168"/>
      <c r="K13" s="168"/>
      <c r="L13" s="171">
        <f t="shared" si="6"/>
        <v>-0.18741023968800002</v>
      </c>
      <c r="M13" s="170">
        <f t="shared" si="4"/>
        <v>46.397420768472003</v>
      </c>
      <c r="N13" s="171">
        <f t="shared" si="7"/>
        <v>-54.92048210376997</v>
      </c>
      <c r="O13" s="171">
        <f t="shared" si="5"/>
        <v>0.13730120525942494</v>
      </c>
      <c r="Q13" s="162"/>
    </row>
    <row r="14" spans="2:17" ht="14" x14ac:dyDescent="0.3">
      <c r="B14" s="169">
        <v>46174</v>
      </c>
      <c r="C14" s="168"/>
      <c r="D14" s="172">
        <v>37.959054739999999</v>
      </c>
      <c r="E14" s="173">
        <f t="shared" si="0"/>
        <v>0.34163149265999998</v>
      </c>
      <c r="F14" s="173">
        <f t="shared" si="1"/>
        <v>0.75918109480000007</v>
      </c>
      <c r="G14" s="173">
        <f t="shared" si="2"/>
        <v>0.37959054740000003</v>
      </c>
      <c r="H14" s="173">
        <f t="shared" si="3"/>
        <v>0.18979527370000002</v>
      </c>
      <c r="I14" s="168"/>
      <c r="J14" s="168"/>
      <c r="K14" s="168"/>
      <c r="L14" s="171">
        <f t="shared" si="6"/>
        <v>-0.15942802990800001</v>
      </c>
      <c r="M14" s="170">
        <f t="shared" si="4"/>
        <v>39.469825118651997</v>
      </c>
      <c r="N14" s="171">
        <f t="shared" si="7"/>
        <v>-15.450656985117973</v>
      </c>
      <c r="O14" s="171">
        <f t="shared" si="5"/>
        <v>3.862664246279493E-2</v>
      </c>
      <c r="Q14" s="162"/>
    </row>
    <row r="15" spans="2:17" ht="14" x14ac:dyDescent="0.3">
      <c r="B15" s="169">
        <v>46204</v>
      </c>
      <c r="C15" s="168">
        <v>125</v>
      </c>
      <c r="D15" s="172">
        <v>36.671503109999996</v>
      </c>
      <c r="E15" s="173">
        <f t="shared" si="0"/>
        <v>0.33004352798999992</v>
      </c>
      <c r="F15" s="173">
        <f t="shared" si="1"/>
        <v>0.73343006220000007</v>
      </c>
      <c r="G15" s="173">
        <f t="shared" si="2"/>
        <v>0.36671503110000003</v>
      </c>
      <c r="H15" s="173">
        <f t="shared" si="3"/>
        <v>0.18335751555000002</v>
      </c>
      <c r="I15" s="174"/>
      <c r="J15" s="168"/>
      <c r="K15" s="168"/>
      <c r="L15" s="171">
        <f t="shared" si="6"/>
        <v>-0.15402031306200001</v>
      </c>
      <c r="M15" s="170">
        <f t="shared" si="4"/>
        <v>-86.868971066222002</v>
      </c>
      <c r="N15" s="171">
        <f t="shared" si="7"/>
        <v>-102.31962805133998</v>
      </c>
      <c r="O15" s="171">
        <f t="shared" si="5"/>
        <v>0.25579907012834996</v>
      </c>
      <c r="Q15" s="162"/>
    </row>
    <row r="16" spans="2:17" ht="14" x14ac:dyDescent="0.3">
      <c r="B16" s="169">
        <v>46235</v>
      </c>
      <c r="C16" s="168"/>
      <c r="D16" s="172">
        <v>45.885982829999996</v>
      </c>
      <c r="E16" s="173">
        <f t="shared" si="0"/>
        <v>0.41297384546999993</v>
      </c>
      <c r="F16" s="173">
        <f t="shared" si="1"/>
        <v>0.91771965659999999</v>
      </c>
      <c r="G16" s="173">
        <f t="shared" si="2"/>
        <v>0.45885982829999999</v>
      </c>
      <c r="H16" s="173">
        <f t="shared" si="3"/>
        <v>0.22942991415</v>
      </c>
      <c r="I16" s="168"/>
      <c r="J16" s="168"/>
      <c r="K16" s="168"/>
      <c r="L16" s="171">
        <f t="shared" si="6"/>
        <v>-0.19272112788599999</v>
      </c>
      <c r="M16" s="170">
        <f t="shared" si="4"/>
        <v>47.712244946633994</v>
      </c>
      <c r="N16" s="171">
        <f t="shared" si="7"/>
        <v>-54.607383104705981</v>
      </c>
      <c r="O16" s="171">
        <f t="shared" si="5"/>
        <v>0.13651845776176494</v>
      </c>
      <c r="Q16" s="162"/>
    </row>
    <row r="17" spans="2:19" ht="14" x14ac:dyDescent="0.3">
      <c r="B17" s="169">
        <v>46266</v>
      </c>
      <c r="C17" s="168"/>
      <c r="D17" s="172">
        <v>42.802171700000002</v>
      </c>
      <c r="E17" s="173">
        <f t="shared" si="0"/>
        <v>0.38521954529999997</v>
      </c>
      <c r="F17" s="173">
        <f t="shared" si="1"/>
        <v>0.85604343400000005</v>
      </c>
      <c r="G17" s="173">
        <f t="shared" si="2"/>
        <v>0.42802171700000002</v>
      </c>
      <c r="H17" s="173">
        <f t="shared" si="3"/>
        <v>0.21401085850000001</v>
      </c>
      <c r="I17" s="168"/>
      <c r="J17" s="168"/>
      <c r="K17" s="168"/>
      <c r="L17" s="171">
        <f t="shared" si="6"/>
        <v>-0.17976912114000002</v>
      </c>
      <c r="M17" s="170">
        <f t="shared" si="4"/>
        <v>44.505698133660005</v>
      </c>
      <c r="N17" s="171">
        <f t="shared" si="7"/>
        <v>-10.101684971045977</v>
      </c>
      <c r="O17" s="171">
        <f t="shared" si="5"/>
        <v>2.5254212427614942E-2</v>
      </c>
      <c r="Q17" s="162"/>
    </row>
    <row r="18" spans="2:19" ht="14" x14ac:dyDescent="0.3">
      <c r="B18" s="169">
        <v>46296</v>
      </c>
      <c r="C18" s="168">
        <v>125</v>
      </c>
      <c r="D18" s="172">
        <v>28.042034210000001</v>
      </c>
      <c r="E18" s="173">
        <f t="shared" si="0"/>
        <v>0.25237830788999999</v>
      </c>
      <c r="F18" s="173">
        <f t="shared" si="1"/>
        <v>0.56084068420000011</v>
      </c>
      <c r="G18" s="173">
        <f t="shared" si="2"/>
        <v>0.28042034210000005</v>
      </c>
      <c r="H18" s="173">
        <f t="shared" si="3"/>
        <v>0.14021017105000003</v>
      </c>
      <c r="I18" s="174"/>
      <c r="J18" s="168"/>
      <c r="K18" s="168"/>
      <c r="L18" s="171">
        <f t="shared" si="6"/>
        <v>-0.11777654368200002</v>
      </c>
      <c r="M18" s="170">
        <f t="shared" si="4"/>
        <v>-95.841892828441999</v>
      </c>
      <c r="N18" s="171">
        <f t="shared" si="7"/>
        <v>-105.94357779948797</v>
      </c>
      <c r="O18" s="171">
        <f t="shared" si="5"/>
        <v>0.26485894449871988</v>
      </c>
      <c r="Q18" s="162"/>
    </row>
    <row r="19" spans="2:19" ht="14" x14ac:dyDescent="0.3">
      <c r="B19" s="169">
        <v>46327</v>
      </c>
      <c r="C19" s="168"/>
      <c r="D19" s="172">
        <v>35.594860679999996</v>
      </c>
      <c r="E19" s="173">
        <f t="shared" si="0"/>
        <v>0.32035374611999995</v>
      </c>
      <c r="F19" s="173">
        <f t="shared" si="1"/>
        <v>0.71189721360000002</v>
      </c>
      <c r="G19" s="173">
        <f t="shared" si="2"/>
        <v>0.35594860680000001</v>
      </c>
      <c r="H19" s="173">
        <f t="shared" si="3"/>
        <v>0.17797430340000001</v>
      </c>
      <c r="I19" s="168"/>
      <c r="J19" s="168"/>
      <c r="K19" s="168"/>
      <c r="L19" s="171">
        <f t="shared" si="6"/>
        <v>-0.14949841485600002</v>
      </c>
      <c r="M19" s="170">
        <f t="shared" si="4"/>
        <v>37.011536135063992</v>
      </c>
      <c r="N19" s="171">
        <f t="shared" si="7"/>
        <v>-68.932041664423977</v>
      </c>
      <c r="O19" s="171">
        <f t="shared" si="5"/>
        <v>0.17233010416105995</v>
      </c>
      <c r="Q19" s="162"/>
    </row>
    <row r="20" spans="2:19" ht="14" x14ac:dyDescent="0.3">
      <c r="B20" s="169">
        <v>46357</v>
      </c>
      <c r="C20" s="168"/>
      <c r="D20" s="172">
        <v>37.544776740000003</v>
      </c>
      <c r="E20" s="173">
        <f t="shared" si="0"/>
        <v>0.33790299066000001</v>
      </c>
      <c r="F20" s="173">
        <f t="shared" si="1"/>
        <v>0.75089553480000015</v>
      </c>
      <c r="G20" s="173">
        <f t="shared" si="2"/>
        <v>0.37544776740000008</v>
      </c>
      <c r="H20" s="173">
        <f t="shared" si="3"/>
        <v>0.18772388370000004</v>
      </c>
      <c r="I20" s="168"/>
      <c r="J20" s="168"/>
      <c r="K20" s="168"/>
      <c r="L20" s="171">
        <f t="shared" si="6"/>
        <v>-0.15768806230800003</v>
      </c>
      <c r="M20" s="170">
        <f t="shared" si="4"/>
        <v>39.039058854252005</v>
      </c>
      <c r="N20" s="171">
        <f t="shared" si="7"/>
        <v>-29.892982810171972</v>
      </c>
      <c r="O20" s="171">
        <f t="shared" si="5"/>
        <v>7.4732457025429924E-2</v>
      </c>
      <c r="Q20" s="162"/>
    </row>
    <row r="21" spans="2:19" ht="14" x14ac:dyDescent="0.3">
      <c r="B21" s="169">
        <v>46388</v>
      </c>
      <c r="C21" s="168"/>
      <c r="D21" s="172">
        <v>47.887077140000002</v>
      </c>
      <c r="E21" s="173">
        <f t="shared" si="0"/>
        <v>0.43098369425999999</v>
      </c>
      <c r="F21" s="173">
        <f t="shared" si="1"/>
        <v>0.95774154280000001</v>
      </c>
      <c r="G21" s="173">
        <f t="shared" si="2"/>
        <v>0.47887077140000001</v>
      </c>
      <c r="H21" s="173">
        <f t="shared" si="3"/>
        <v>0.2394353857</v>
      </c>
      <c r="I21" s="174"/>
      <c r="J21" s="168"/>
      <c r="K21" s="168"/>
      <c r="L21" s="171">
        <f t="shared" si="6"/>
        <v>-0.20112572398800002</v>
      </c>
      <c r="M21" s="170">
        <f t="shared" si="4"/>
        <v>49.792982810171999</v>
      </c>
      <c r="N21" s="171">
        <f t="shared" si="7"/>
        <v>19.900000000000027</v>
      </c>
      <c r="O21" s="171">
        <f t="shared" si="5"/>
        <v>-4.9750000000000065E-2</v>
      </c>
      <c r="Q21" s="162"/>
    </row>
    <row r="22" spans="2:19" ht="14" x14ac:dyDescent="0.3">
      <c r="B22" s="169"/>
      <c r="C22" s="168"/>
      <c r="D22" s="179"/>
      <c r="E22" s="173"/>
      <c r="F22" s="173"/>
      <c r="G22" s="173"/>
      <c r="H22" s="173"/>
      <c r="I22" s="174"/>
      <c r="J22" s="168"/>
      <c r="K22" s="168"/>
      <c r="L22" s="171"/>
      <c r="M22" s="170"/>
      <c r="N22" s="171"/>
      <c r="O22" s="171"/>
      <c r="Q22" s="162"/>
    </row>
    <row r="23" spans="2:19" x14ac:dyDescent="0.3">
      <c r="B23" s="157" t="s">
        <v>179</v>
      </c>
    </row>
    <row r="24" spans="2:19" x14ac:dyDescent="0.3">
      <c r="B24" s="157" t="s">
        <v>176</v>
      </c>
      <c r="C24" s="171">
        <f>SUM(E10:H21)</f>
        <v>22</v>
      </c>
    </row>
    <row r="25" spans="2:19" x14ac:dyDescent="0.3">
      <c r="B25" s="164" t="s">
        <v>152</v>
      </c>
      <c r="C25" s="177">
        <f>SUM(E10:H21)/(SUM(E10:H21)+SUM(D10:D21))</f>
        <v>4.2145593869731809E-2</v>
      </c>
    </row>
    <row r="26" spans="2:19" x14ac:dyDescent="0.3">
      <c r="B26" s="176" t="s">
        <v>177</v>
      </c>
      <c r="C26" s="178">
        <f>N21+O21</f>
        <v>19.850250000000027</v>
      </c>
    </row>
    <row r="27" spans="2:19" x14ac:dyDescent="0.3">
      <c r="B27" s="157" t="s">
        <v>158</v>
      </c>
      <c r="C27" s="177">
        <f>-(N21+O21)/SUM(C9:C21)</f>
        <v>-3.9700500000000055E-2</v>
      </c>
      <c r="S27" s="161"/>
    </row>
    <row r="28" spans="2:19" x14ac:dyDescent="0.3">
      <c r="B28" s="157" t="s">
        <v>153</v>
      </c>
      <c r="C28" s="177">
        <f>XIRR(M9:M21,B9:B21)</f>
        <v>0.30533476471900944</v>
      </c>
      <c r="S28" s="161"/>
    </row>
    <row r="31" spans="2:19" x14ac:dyDescent="0.3">
      <c r="C31" s="158"/>
      <c r="E31" s="159"/>
      <c r="G31" s="159"/>
      <c r="I31" s="159"/>
    </row>
    <row r="33" spans="3:17" x14ac:dyDescent="0.3">
      <c r="C33" s="159"/>
      <c r="E33" s="158"/>
    </row>
    <row r="34" spans="3:17" x14ac:dyDescent="0.3">
      <c r="O34" s="164"/>
      <c r="P34" s="165"/>
      <c r="Q34" s="162"/>
    </row>
    <row r="35" spans="3:17" x14ac:dyDescent="0.3">
      <c r="Q35" s="165"/>
    </row>
    <row r="36" spans="3:17" x14ac:dyDescent="0.3">
      <c r="N36" s="161"/>
    </row>
    <row r="37" spans="3:17" x14ac:dyDescent="0.3">
      <c r="C37" s="160"/>
      <c r="E37" s="161"/>
      <c r="F37" s="161"/>
      <c r="G37" s="161"/>
      <c r="H37" s="161"/>
      <c r="N37" s="161"/>
    </row>
    <row r="38" spans="3:17" ht="14" x14ac:dyDescent="0.3">
      <c r="C38" s="160"/>
      <c r="E38" s="166"/>
      <c r="F38" s="161"/>
      <c r="G38" s="161"/>
      <c r="H38" s="161"/>
    </row>
    <row r="39" spans="3:17" ht="14" x14ac:dyDescent="0.3">
      <c r="C39" s="160"/>
      <c r="E39" s="166"/>
      <c r="F39" s="161"/>
      <c r="G39" s="161"/>
      <c r="H39" s="161"/>
      <c r="N39" s="159"/>
    </row>
    <row r="40" spans="3:17" ht="14" x14ac:dyDescent="0.3">
      <c r="C40" s="160"/>
      <c r="E40" s="166"/>
      <c r="F40" s="161"/>
      <c r="G40" s="161"/>
      <c r="H40" s="161"/>
    </row>
    <row r="41" spans="3:17" ht="14" x14ac:dyDescent="0.3">
      <c r="C41" s="160"/>
      <c r="E41" s="166"/>
      <c r="F41" s="161"/>
      <c r="G41" s="161"/>
      <c r="H41" s="161"/>
    </row>
    <row r="42" spans="3:17" ht="14" x14ac:dyDescent="0.3">
      <c r="C42" s="160"/>
      <c r="E42" s="166"/>
      <c r="F42" s="161"/>
      <c r="G42" s="161"/>
      <c r="H42" s="161"/>
    </row>
    <row r="43" spans="3:17" ht="14" x14ac:dyDescent="0.3">
      <c r="C43" s="160"/>
      <c r="E43" s="166"/>
      <c r="F43" s="161"/>
      <c r="G43" s="161"/>
      <c r="H43" s="161"/>
    </row>
    <row r="44" spans="3:17" ht="14" x14ac:dyDescent="0.3">
      <c r="C44" s="160"/>
      <c r="E44" s="166"/>
      <c r="F44" s="161"/>
      <c r="G44" s="161"/>
      <c r="H44" s="161"/>
    </row>
    <row r="45" spans="3:17" ht="14" x14ac:dyDescent="0.3">
      <c r="C45" s="160"/>
      <c r="E45" s="166"/>
      <c r="F45" s="161"/>
      <c r="G45" s="161"/>
      <c r="H45" s="161"/>
    </row>
    <row r="46" spans="3:17" ht="14" x14ac:dyDescent="0.3">
      <c r="C46" s="160"/>
      <c r="E46" s="166"/>
      <c r="F46" s="161"/>
      <c r="G46" s="161"/>
      <c r="H46" s="161"/>
    </row>
    <row r="47" spans="3:17" ht="14" x14ac:dyDescent="0.3">
      <c r="C47" s="160"/>
      <c r="E47" s="166"/>
      <c r="F47" s="161"/>
      <c r="G47" s="161"/>
      <c r="H47" s="161"/>
    </row>
    <row r="48" spans="3:17" ht="14" x14ac:dyDescent="0.3">
      <c r="C48" s="160"/>
      <c r="E48" s="166"/>
      <c r="F48" s="161"/>
      <c r="G48" s="161"/>
      <c r="H48" s="161"/>
    </row>
    <row r="49" spans="3:8" ht="14" x14ac:dyDescent="0.3">
      <c r="C49" s="160"/>
      <c r="E49" s="166"/>
      <c r="F49" s="161"/>
      <c r="G49" s="161"/>
      <c r="H49" s="161"/>
    </row>
    <row r="50" spans="3:8" x14ac:dyDescent="0.3">
      <c r="C50" s="160"/>
      <c r="E50" s="161"/>
      <c r="F50" s="161"/>
      <c r="G50" s="161"/>
      <c r="H50" s="161"/>
    </row>
    <row r="51" spans="3:8" x14ac:dyDescent="0.3">
      <c r="C51" s="160"/>
      <c r="E51" s="161"/>
      <c r="F51" s="161"/>
      <c r="G51" s="161"/>
      <c r="H51" s="161"/>
    </row>
    <row r="52" spans="3:8" x14ac:dyDescent="0.3">
      <c r="C52" s="160"/>
      <c r="E52" s="161"/>
      <c r="F52" s="161"/>
      <c r="G52" s="161"/>
      <c r="H52" s="161"/>
    </row>
    <row r="53" spans="3:8" x14ac:dyDescent="0.3">
      <c r="C53" s="160"/>
      <c r="D53" s="167"/>
      <c r="E53" s="16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Suung Edit</vt:lpstr>
      <vt:lpstr>单次打款</vt:lpstr>
      <vt:lpstr>2次打款</vt:lpstr>
      <vt:lpstr>3次打款</vt:lpstr>
      <vt:lpstr>4次打款</vt:lpstr>
      <vt:lpstr>要求</vt:lpstr>
      <vt:lpstr>IRR计算 (12月，季度回款) </vt:lpstr>
      <vt:lpstr>计算模型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jianhua lin （林剑华）</cp:lastModifiedBy>
  <dcterms:modified xsi:type="dcterms:W3CDTF">2026-04-15T02:59:58Z</dcterms:modified>
</cp:coreProperties>
</file>